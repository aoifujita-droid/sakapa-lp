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申込み一覧" sheetId="1" r:id="rId5"/>
    <sheet state="visible" name="契約管理表" sheetId="2" r:id="rId6"/>
    <sheet state="visible" name="運用メモ" sheetId="3" r:id="rId7"/>
    <sheet state="visible" name="シート1" sheetId="4" r:id="rId8"/>
  </sheets>
  <definedNames/>
  <calcPr/>
</workbook>
</file>

<file path=xl/sharedStrings.xml><?xml version="1.0" encoding="utf-8"?>
<sst xmlns="http://schemas.openxmlformats.org/spreadsheetml/2006/main" count="1003" uniqueCount="194">
  <si>
    <t>講座 申し込み一覧</t>
  </si>
  <si>
    <t>No.</t>
  </si>
  <si>
    <t>評価</t>
  </si>
  <si>
    <t>優先度</t>
  </si>
  <si>
    <t>提案順</t>
  </si>
  <si>
    <t>DAY</t>
  </si>
  <si>
    <t>名前</t>
  </si>
  <si>
    <t>アンケ送付</t>
  </si>
  <si>
    <t>アンケ記入</t>
  </si>
  <si>
    <t>DAY1</t>
  </si>
  <si>
    <t>端末</t>
  </si>
  <si>
    <t>コメント内容</t>
  </si>
  <si>
    <t>会社名</t>
  </si>
  <si>
    <t>役職</t>
  </si>
  <si>
    <t>会社HP URL</t>
  </si>
  <si>
    <t>備考</t>
  </si>
  <si>
    <t>⚪</t>
  </si>
  <si>
    <t>高</t>
  </si>
  <si>
    <t>Day1</t>
  </si>
  <si>
    <t>小橋 正次郎</t>
  </si>
  <si>
    <t>済</t>
  </si>
  <si>
    <t>4/14 11:30~13:00</t>
  </si>
  <si>
    <t>Mac</t>
  </si>
  <si>
    <t>直DM</t>
  </si>
  <si>
    <t>KOBASHI HOLDINGS株式会社</t>
  </si>
  <si>
    <t>代表取締役社長</t>
  </si>
  <si>
    <t>https://www.kobashiholdings.com/company/profile/</t>
  </si>
  <si>
    <t>HD社長、連結事業会社社長兼任</t>
  </si>
  <si>
    <t>井関 貴博</t>
  </si>
  <si>
    <t>4/17 14:00~</t>
  </si>
  <si>
    <t/>
  </si>
  <si>
    <t>【10万円】単発10万円でお願いしたいです〜</t>
  </si>
  <si>
    <t>ECH株式会社（旧ECホールディングス）</t>
  </si>
  <si>
    <t>代表取締役</t>
  </si>
  <si>
    <t>https://www.echoldings.co.jp/</t>
  </si>
  <si>
    <t>D2C事業</t>
  </si>
  <si>
    <t>小川 晋平</t>
  </si>
  <si>
    <t>4/18 14:00~</t>
  </si>
  <si>
    <t>【10万円】週末や夜間でも良ければ10万円払います。使いこなして平日に時間作れるようになりたいです！</t>
  </si>
  <si>
    <t>AMI株式会社</t>
  </si>
  <si>
    <t>代表取締役CEO</t>
  </si>
  <si>
    <t>https://ami.inc/</t>
  </si>
  <si>
    <t>医師・医療AIベンチャー</t>
  </si>
  <si>
    <t>袴田 奈麗美</t>
  </si>
  <si>
    <t>-</t>
  </si>
  <si>
    <t>4/24 14:00~16:00</t>
  </si>
  <si>
    <t>【10万円】10万円は払います！身銭切らないと後回しにしがちで、、、</t>
  </si>
  <si>
    <t>株式会社ボンド</t>
  </si>
  <si>
    <t>https://bond222.jp/</t>
  </si>
  <si>
    <t>バックオフィスBPO、Deep30取締役COO</t>
  </si>
  <si>
    <t>谷口 正俊</t>
  </si>
  <si>
    <t>【10万円】タイムリーです。単発10万で是非お願いしたいです！</t>
  </si>
  <si>
    <t>株式会社ワールディング</t>
  </si>
  <si>
    <t>https://worlding.asia/</t>
  </si>
  <si>
    <t>Day2</t>
  </si>
  <si>
    <t>中尾 隆一郎</t>
  </si>
  <si>
    <t>【10万円】10万は楽勝に払います^ ^</t>
  </si>
  <si>
    <t>株式会社中尾マネジメント研究所</t>
  </si>
  <si>
    <t>https://nminstitute.jp/</t>
  </si>
  <si>
    <t>元リクルート、著書多数</t>
  </si>
  <si>
    <t>田中 祐介</t>
  </si>
  <si>
    <t>【10万円】10万円払います。自分の手足としてもっと使いこなしたい。</t>
  </si>
  <si>
    <t>GOOD SHARE株式会社 / 株式会社クロスシー</t>
  </si>
  <si>
    <t>https://yusuketanaka.com/</t>
  </si>
  <si>
    <t>茶谷 信明</t>
  </si>
  <si>
    <t>4/16 9:00~</t>
  </si>
  <si>
    <t>【10万円】運用自動化したい！10万なら全然お願いしたいすねー</t>
  </si>
  <si>
    <t>株式会社カーペイディーエム</t>
  </si>
  <si>
    <t>https://carpaydiem.jp/</t>
  </si>
  <si>
    <t>中古車輸出事業</t>
  </si>
  <si>
    <t>松林 豊斎</t>
  </si>
  <si>
    <t>4/20 14:00~16:00</t>
  </si>
  <si>
    <t>株式会社朝日窯　朝日焼</t>
  </si>
  <si>
    <t>https://asahiyaki.com/company.php</t>
  </si>
  <si>
    <t>陶芸家</t>
  </si>
  <si>
    <t>石田 麻琴</t>
  </si>
  <si>
    <t>5/1 13-16時</t>
  </si>
  <si>
    <t>【10万円】10万円払いたいです。開発経験ゼロなので、設定と簡単なアプリ？開発から公開までの0→1まで一緒にやってもらえるとありがたい。</t>
  </si>
  <si>
    <t>株式会社ECマーケティング人財育成</t>
  </si>
  <si>
    <t>https://www.ecmj.co.jp/</t>
  </si>
  <si>
    <t>中</t>
  </si>
  <si>
    <t>池田 吉来</t>
  </si>
  <si>
    <t>【5〜15万円】研修で教えてもらいながら、なら1人5万円、その後のサポートも考えたら15万円払ってもお得に感じる人はいる気がします！</t>
  </si>
  <si>
    <t>株式会社WaterFowl</t>
  </si>
  <si>
    <t>代表</t>
  </si>
  <si>
    <t>http://water-fowl.co.jp/</t>
  </si>
  <si>
    <t>スポーツ分析システムSpolyzer運営</t>
  </si>
  <si>
    <t>池田 陽輔</t>
  </si>
  <si>
    <t>【5〜10万円】5万〜10万ならありです！まさにそのセットアップで躓いており、、</t>
  </si>
  <si>
    <t>株式会社digglue</t>
  </si>
  <si>
    <t>執行役員</t>
  </si>
  <si>
    <t>https://digglue.com/</t>
  </si>
  <si>
    <t>低</t>
  </si>
  <si>
    <t>高橋 勲</t>
  </si>
  <si>
    <t>【10万円】製造業の現場のアナログな受発注業務への導入を伴走してもらえるなら、10万でも安いと思います！</t>
  </si>
  <si>
    <t>ヤシマ食品株式会社</t>
  </si>
  <si>
    <t>http://www.yashimafoods.co.jp/index.html</t>
  </si>
  <si>
    <t>製造業関連、認証済みアカウント</t>
  </si>
  <si>
    <t>坪内 俊一</t>
  </si>
  <si>
    <t>これビジネスになりそうよね。というか、もうなってるのかも</t>
  </si>
  <si>
    <t>株式会社プロゴス</t>
  </si>
  <si>
    <t>https://www.progos.co.jp/</t>
  </si>
  <si>
    <t>元BCG、London Business School MBA</t>
  </si>
  <si>
    <t>岩田 真吾</t>
  </si>
  <si>
    <t>一回やって欲しい！美味しいご飯ゴチします（笑）</t>
  </si>
  <si>
    <t>三星グループ（三星毛糸株式会社）</t>
  </si>
  <si>
    <t>https://mitsu-boshi.jp/</t>
  </si>
  <si>
    <t>5代目アトツギ、繊維素材メーカー</t>
  </si>
  <si>
    <t>齋藤 太郎</t>
  </si>
  <si>
    <t>無料壁打ち1時間とバーターでw</t>
  </si>
  <si>
    <t>株式会社dof</t>
  </si>
  <si>
    <t>https://dof.jp/</t>
  </si>
  <si>
    <t>クリエイティブディレクター</t>
  </si>
  <si>
    <t>無</t>
  </si>
  <si>
    <t>山田 泰央</t>
  </si>
  <si>
    <t>サービスつくりましょー！！！</t>
  </si>
  <si>
    <t>Obeta株式会社 / 株式会社MAISON MARC</t>
  </si>
  <si>
    <t>創業者 / 取締役</t>
  </si>
  <si>
    <t>https://obeta.co.jp/</t>
  </si>
  <si>
    <t>元ダズルCEO</t>
  </si>
  <si>
    <t>池田 順一</t>
  </si>
  <si>
    <t>ビジネスになりそうですね❣️</t>
  </si>
  <si>
    <t>Shinqoo inc</t>
  </si>
  <si>
    <t>代表 / CX-EXコンサルタント</t>
  </si>
  <si>
    <t>https://www.linkedin.com/in/junichi-ikeda/</t>
  </si>
  <si>
    <t>連続起業家</t>
  </si>
  <si>
    <t>藤井康平</t>
  </si>
  <si>
    <t>大企業では1万人中1人しかクロードコードを使っていない。仕掛け次第では良いお客さんになると思う</t>
  </si>
  <si>
    <t>（調査中）</t>
  </si>
  <si>
    <t>大企業DXに知見あり</t>
  </si>
  <si>
    <t>湯川 鶴章</t>
  </si>
  <si>
    <t>体で払います</t>
  </si>
  <si>
    <t>TheWave / AI新聞（エクスウィザーズ）</t>
  </si>
  <si>
    <t>代表 / 編集長</t>
  </si>
  <si>
    <t>https://tsuruaki.com/</t>
  </si>
  <si>
    <t>ITジャーナリスト</t>
  </si>
  <si>
    <t>×</t>
  </si>
  <si>
    <t>佐藤 秀哉</t>
  </si>
  <si>
    <t>個人商店ならいざ知らず、金にはならんね。</t>
  </si>
  <si>
    <t>株式会社テラスカイ</t>
  </si>
  <si>
    <t>代表取締役CEO 社長執行役員</t>
  </si>
  <si>
    <t>https://www.terrasky.co.jp/</t>
  </si>
  <si>
    <t>東証プライム上場</t>
  </si>
  <si>
    <t>上原 健嗣</t>
  </si>
  <si>
    <t>環境設定+カスタマイズくらいなら無料でやりますよ笑</t>
  </si>
  <si>
    <t>株式会社DGベンチャーズ</t>
  </si>
  <si>
    <t>Managing Director</t>
  </si>
  <si>
    <t>https://dgventures.com/</t>
  </si>
  <si>
    <t>ベンチャーキャピタリスト</t>
  </si>
  <si>
    <t>筧 直之</t>
  </si>
  <si>
    <t>【20万円】初めて連絡させて頂きます。20万円払わせて頂きたいです。基礎的なセットアップはしたものの、自分用にチューニングし続けていくところが進められておらず、ぜひサポートをお願いしたいです。</t>
  </si>
  <si>
    <t>株式会社ブレインパッド（元）</t>
  </si>
  <si>
    <t>元代表取締役/現ヘルステックスタートアップ</t>
  </si>
  <si>
    <t>https://www.brainpad.co.jp/</t>
  </si>
  <si>
    <t>元ブレインパッド代表取締役、現在はヘルステックスタートアップのHead of Data Analytics &amp; Strategic Marketing</t>
  </si>
  <si>
    <t>Yoshinori Kaji</t>
  </si>
  <si>
    <t>【5〜10万円】中平くん、お久しぶり！環境設定から基本機能までのレクチャーで5万。応用編として実現したいことを相談のってもらえるなら10万。でお願いします🙏</t>
  </si>
  <si>
    <t>契約管理表</t>
  </si>
  <si>
    <t>総件数</t>
  </si>
  <si>
    <t>日程設定済</t>
  </si>
  <si>
    <t>契約締結済</t>
  </si>
  <si>
    <t>請求書送付済</t>
  </si>
  <si>
    <t>入金確認済</t>
  </si>
  <si>
    <t>実施済</t>
  </si>
  <si>
    <t>アンケ回収済</t>
  </si>
  <si>
    <t>入力ルール：契約締結・請求・入金・録画・完了報告・アンケートをこのシートで管理 / ステータス列はプルダウン選択</t>
  </si>
  <si>
    <t>実施予定日時</t>
  </si>
  <si>
    <t>契約締結</t>
  </si>
  <si>
    <t>契約締結日</t>
  </si>
  <si>
    <t>請求種別</t>
  </si>
  <si>
    <t>請求先名</t>
  </si>
  <si>
    <t>請求書送付</t>
  </si>
  <si>
    <t>請求書送付日</t>
  </si>
  <si>
    <t>入金確認</t>
  </si>
  <si>
    <t>入金確認日</t>
  </si>
  <si>
    <t>実施ステータス</t>
  </si>
  <si>
    <t>実施管理日</t>
  </si>
  <si>
    <t>録画</t>
  </si>
  <si>
    <t>録画共有日</t>
  </si>
  <si>
    <t>完了報告</t>
  </si>
  <si>
    <t>完了報告日</t>
  </si>
  <si>
    <t>アンケ送付日</t>
  </si>
  <si>
    <t>アンケ回収</t>
  </si>
  <si>
    <t>アンケ回収日</t>
  </si>
  <si>
    <t>運用メモ</t>
  </si>
  <si>
    <t>このブックの使い分け</t>
  </si>
  <si>
    <t>申込み一覧</t>
  </si>
  <si>
    <t>温度感・優先度・元コメントの原本管理</t>
  </si>
  <si>
    <t>契約・請求・入金・実施・録画・アンケートの進行管理</t>
  </si>
  <si>
    <t>運用ポイント</t>
  </si>
  <si>
    <t>• CloudSign送付後に「契約締結」を更新</t>
  </si>
  <si>
    <t>• 請求書送付・入金確認は都度更新</t>
  </si>
  <si>
    <t>• 実施後に「実施ステータス」「完了報告」を更新</t>
  </si>
  <si>
    <t>• アンケートは送付日・回収日も残すと抜け漏れしにくい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</si>
</sst>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sz val="14.0"/>
      <color rgb="FFFFFFFF"/>
      <name val="Arial"/>
      <scheme val="minor"/>
    </font>
    <font/>
    <font>
      <b/>
      <color rgb="FFFFFFFF"/>
      <name val="Arial"/>
      <scheme val="minor"/>
    </font>
    <font>
      <sz val="11.0"/>
      <color theme="1"/>
      <name val="Calibri"/>
    </font>
    <font>
      <b/>
      <color rgb="FF2E7A67"/>
      <name val="Arial"/>
      <scheme val="minor"/>
    </font>
    <font>
      <sz val="12.0"/>
      <color theme="10"/>
      <name val="Calibri"/>
    </font>
    <font>
      <b/>
      <color rgb="FFC00000"/>
      <name val="Arial"/>
      <scheme val="minor"/>
    </font>
    <font>
      <b/>
      <sz val="13.0"/>
      <color rgb="FF1C4E42"/>
      <name val="Arial"/>
      <scheme val="minor"/>
    </font>
    <font>
      <i/>
      <color rgb="FF1C4E42"/>
      <name val="Arial"/>
      <scheme val="minor"/>
    </font>
    <font>
      <b/>
      <color rgb="FF1C4E42"/>
      <name val="Arial"/>
      <scheme val="minor"/>
    </font>
  </fonts>
  <fills count="7">
    <fill>
      <patternFill patternType="none"/>
    </fill>
    <fill>
      <patternFill patternType="lightGray"/>
    </fill>
    <fill>
      <patternFill patternType="solid">
        <fgColor rgb="FF1C4E42"/>
        <bgColor rgb="FF1C4E42"/>
      </patternFill>
    </fill>
    <fill>
      <patternFill patternType="solid">
        <fgColor rgb="FF2E7A67"/>
        <bgColor rgb="FF2E7A67"/>
      </patternFill>
    </fill>
    <fill>
      <patternFill patternType="solid">
        <fgColor rgb="FFFAFAFA"/>
        <bgColor rgb="FFFAFAFA"/>
      </patternFill>
    </fill>
    <fill>
      <patternFill patternType="solid">
        <fgColor rgb="FFDDEFEA"/>
        <bgColor rgb="FFDDEFEA"/>
      </patternFill>
    </fill>
    <fill>
      <patternFill patternType="solid">
        <fgColor rgb="FFF2F2F2"/>
        <bgColor rgb="FFF2F2F2"/>
      </patternFill>
    </fill>
  </fills>
  <borders count="3">
    <border/>
    <border>
      <bottom style="thin">
        <color rgb="FFD9D9D9"/>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Border="1" applyFont="1"/>
    <xf borderId="1" fillId="3" fontId="3" numFmtId="0" xfId="0" applyAlignment="1" applyBorder="1" applyFill="1" applyFont="1">
      <alignment horizontal="center" vertical="center"/>
    </xf>
    <xf borderId="1" fillId="0" fontId="4" numFmtId="0" xfId="0" applyAlignment="1" applyBorder="1" applyFont="1">
      <alignment horizontal="center" vertical="top"/>
    </xf>
    <xf borderId="1" fillId="0" fontId="5" numFmtId="0" xfId="0" applyAlignment="1" applyBorder="1" applyFont="1">
      <alignment shrinkToFit="0" vertical="top" wrapText="1"/>
    </xf>
    <xf borderId="1" fillId="0" fontId="4" numFmtId="0" xfId="0" applyAlignment="1" applyBorder="1" applyFont="1">
      <alignment shrinkToFit="0" vertical="top" wrapText="1"/>
    </xf>
    <xf borderId="1" fillId="0" fontId="6" numFmtId="0" xfId="0" applyBorder="1" applyFont="1"/>
    <xf borderId="1" fillId="4" fontId="4" numFmtId="0" xfId="0" applyAlignment="1" applyBorder="1" applyFill="1" applyFont="1">
      <alignment horizontal="center" vertical="top"/>
    </xf>
    <xf borderId="1" fillId="4" fontId="5" numFmtId="0" xfId="0" applyAlignment="1" applyBorder="1" applyFont="1">
      <alignment shrinkToFit="0" vertical="top" wrapText="1"/>
    </xf>
    <xf borderId="1" fillId="4" fontId="4" numFmtId="0" xfId="0" applyAlignment="1" applyBorder="1" applyFont="1">
      <alignment shrinkToFit="0" vertical="top" wrapText="1"/>
    </xf>
    <xf borderId="2" fillId="4" fontId="4" numFmtId="0" xfId="0" applyAlignment="1" applyBorder="1" applyFont="1">
      <alignment shrinkToFit="0" vertical="top" wrapText="1"/>
    </xf>
    <xf borderId="0" fillId="0" fontId="4" numFmtId="0" xfId="0" applyAlignment="1" applyFont="1">
      <alignment shrinkToFit="0" vertical="top" wrapText="1"/>
    </xf>
    <xf borderId="0" fillId="0" fontId="4" numFmtId="0" xfId="0" applyAlignment="1" applyFont="1">
      <alignment horizontal="center" vertical="top"/>
    </xf>
    <xf borderId="2" fillId="4" fontId="4" numFmtId="0" xfId="0" applyAlignment="1" applyBorder="1" applyFont="1">
      <alignment horizontal="center" vertical="top"/>
    </xf>
    <xf borderId="1" fillId="0" fontId="7" numFmtId="0" xfId="0" applyAlignment="1" applyBorder="1" applyFont="1">
      <alignment shrinkToFit="0" vertical="top" wrapText="1"/>
    </xf>
    <xf borderId="1" fillId="4" fontId="7" numFmtId="0" xfId="0" applyAlignment="1" applyBorder="1" applyFont="1">
      <alignment shrinkToFit="0" vertical="top" wrapText="1"/>
    </xf>
    <xf borderId="1" fillId="2" fontId="1" numFmtId="0" xfId="0" applyAlignment="1" applyBorder="1" applyFont="1">
      <alignment horizontal="center"/>
    </xf>
    <xf borderId="1" fillId="3" fontId="3" numFmtId="0" xfId="0" applyAlignment="1" applyBorder="1" applyFont="1">
      <alignment horizontal="center"/>
    </xf>
    <xf borderId="1" fillId="5" fontId="8" numFmtId="0" xfId="0" applyAlignment="1" applyBorder="1" applyFill="1" applyFont="1">
      <alignment horizontal="center"/>
    </xf>
    <xf borderId="1" fillId="6" fontId="9" numFmtId="0" xfId="0" applyBorder="1" applyFill="1" applyFont="1"/>
    <xf borderId="1" fillId="3" fontId="3"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0" fillId="0" fontId="4" numFmtId="0" xfId="0" applyAlignment="1" applyFont="1">
      <alignment horizontal="center" shrinkToFit="0" vertical="top" wrapText="1"/>
    </xf>
    <xf borderId="0" fillId="0" fontId="4" numFmtId="164" xfId="0" applyAlignment="1" applyFont="1" applyNumberFormat="1">
      <alignment horizontal="center" shrinkToFit="0" vertical="top" wrapText="1"/>
    </xf>
    <xf borderId="1" fillId="4" fontId="4" numFmtId="0" xfId="0" applyAlignment="1" applyBorder="1" applyFont="1">
      <alignment horizontal="center" shrinkToFit="0" vertical="top" wrapText="1"/>
    </xf>
    <xf borderId="2" fillId="4" fontId="4" numFmtId="0" xfId="0" applyAlignment="1" applyBorder="1" applyFont="1">
      <alignment horizontal="center" shrinkToFit="0" vertical="top" wrapText="1"/>
    </xf>
    <xf borderId="2" fillId="4" fontId="4" numFmtId="164" xfId="0" applyAlignment="1" applyBorder="1" applyFont="1" applyNumberFormat="1">
      <alignment horizontal="center" shrinkToFit="0" vertical="top" wrapText="1"/>
    </xf>
    <xf borderId="1" fillId="2" fontId="1" numFmtId="0" xfId="0" applyBorder="1" applyFont="1"/>
    <xf borderId="1" fillId="0" fontId="10" numFmtId="0" xfId="0" applyBorder="1" applyFont="1"/>
    <xf borderId="1" fillId="0" fontId="4" numFmtId="0" xfId="0" applyBorder="1" applyFont="1"/>
  </cellXfs>
  <cellStyles count="1">
    <cellStyle xfId="0" name="Normal" builtinId="0"/>
  </cellStyles>
  <dxfs count="5">
    <dxf>
      <font/>
      <fill>
        <patternFill patternType="solid">
          <fgColor rgb="FFC6EFD5"/>
          <bgColor rgb="FFC6EFD5"/>
        </patternFill>
      </fill>
      <border/>
    </dxf>
    <dxf>
      <font/>
      <fill>
        <patternFill patternType="solid">
          <fgColor rgb="FFEDEDED"/>
          <bgColor rgb="FFEDEDED"/>
        </patternFill>
      </fill>
      <border/>
    </dxf>
    <dxf>
      <font/>
      <fill>
        <patternFill patternType="solid">
          <fgColor rgb="FFD9EAF7"/>
          <bgColor rgb="FFD9EAF7"/>
        </patternFill>
      </fill>
      <border/>
    </dxf>
    <dxf>
      <font/>
      <fill>
        <patternFill patternType="solid">
          <fgColor rgb="FFFCE5CD"/>
          <bgColor rgb="FFFCE5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5.25"/>
    <col customWidth="1" min="3" max="5" width="7.0"/>
    <col customWidth="1" min="6" max="6" width="14.0"/>
    <col customWidth="1" min="7" max="8" width="8.75"/>
    <col customWidth="1" min="9" max="9" width="15.75"/>
    <col customWidth="1" min="10" max="10" width="7.0"/>
    <col customWidth="1" min="11" max="11" width="39.38"/>
    <col customWidth="1" min="12" max="12" width="29.75"/>
    <col customWidth="1" min="13" max="13" width="21.0"/>
    <col customWidth="1" min="14" max="14" width="31.5"/>
    <col customWidth="1" min="15" max="15" width="29.75"/>
    <col customWidth="1" min="16" max="26" width="7.63"/>
  </cols>
  <sheetData>
    <row r="1" ht="24.0" customHeight="1">
      <c r="A1" s="1" t="s">
        <v>0</v>
      </c>
      <c r="B1" s="2"/>
      <c r="C1" s="2"/>
      <c r="D1" s="2"/>
      <c r="E1" s="2"/>
      <c r="F1" s="2"/>
      <c r="G1" s="2"/>
      <c r="H1" s="2"/>
      <c r="I1" s="2"/>
      <c r="J1" s="2"/>
      <c r="K1" s="2"/>
      <c r="L1" s="2"/>
      <c r="M1" s="2"/>
      <c r="N1" s="2"/>
      <c r="O1" s="2"/>
    </row>
    <row r="3" ht="21.75" customHeight="1">
      <c r="A3" s="3" t="s">
        <v>1</v>
      </c>
      <c r="B3" s="3" t="s">
        <v>2</v>
      </c>
      <c r="C3" s="3" t="s">
        <v>3</v>
      </c>
      <c r="D3" s="3" t="s">
        <v>4</v>
      </c>
      <c r="E3" s="3" t="s">
        <v>5</v>
      </c>
      <c r="F3" s="3" t="s">
        <v>6</v>
      </c>
      <c r="G3" s="3" t="s">
        <v>7</v>
      </c>
      <c r="H3" s="3" t="s">
        <v>8</v>
      </c>
      <c r="I3" s="3" t="s">
        <v>9</v>
      </c>
      <c r="J3" s="3" t="s">
        <v>10</v>
      </c>
      <c r="K3" s="3" t="s">
        <v>11</v>
      </c>
      <c r="L3" s="3" t="s">
        <v>12</v>
      </c>
      <c r="M3" s="3" t="s">
        <v>13</v>
      </c>
      <c r="N3" s="3" t="s">
        <v>14</v>
      </c>
      <c r="O3" s="3" t="s">
        <v>15</v>
      </c>
    </row>
    <row r="4">
      <c r="A4" s="4">
        <v>1.0</v>
      </c>
      <c r="B4" s="5" t="s">
        <v>16</v>
      </c>
      <c r="C4" s="6" t="s">
        <v>17</v>
      </c>
      <c r="D4" s="4">
        <v>1.0</v>
      </c>
      <c r="E4" s="6" t="s">
        <v>18</v>
      </c>
      <c r="F4" s="6" t="s">
        <v>19</v>
      </c>
      <c r="G4" s="6" t="s">
        <v>20</v>
      </c>
      <c r="H4" s="6" t="s">
        <v>20</v>
      </c>
      <c r="I4" s="6" t="s">
        <v>21</v>
      </c>
      <c r="J4" s="6" t="s">
        <v>22</v>
      </c>
      <c r="K4" s="6" t="s">
        <v>23</v>
      </c>
      <c r="L4" s="6" t="s">
        <v>24</v>
      </c>
      <c r="M4" s="6" t="s">
        <v>25</v>
      </c>
      <c r="N4" s="7" t="s">
        <v>26</v>
      </c>
      <c r="O4" s="6" t="s">
        <v>27</v>
      </c>
    </row>
    <row r="5">
      <c r="A5" s="8">
        <v>2.0</v>
      </c>
      <c r="B5" s="9" t="s">
        <v>16</v>
      </c>
      <c r="C5" s="10" t="s">
        <v>17</v>
      </c>
      <c r="D5" s="8">
        <v>1.0</v>
      </c>
      <c r="E5" s="10" t="s">
        <v>18</v>
      </c>
      <c r="F5" s="10" t="s">
        <v>28</v>
      </c>
      <c r="G5" s="10" t="s">
        <v>20</v>
      </c>
      <c r="H5" s="10" t="s">
        <v>20</v>
      </c>
      <c r="I5" s="10" t="s">
        <v>29</v>
      </c>
      <c r="J5" s="11" t="s">
        <v>30</v>
      </c>
      <c r="K5" s="10" t="s">
        <v>31</v>
      </c>
      <c r="L5" s="10" t="s">
        <v>32</v>
      </c>
      <c r="M5" s="10" t="s">
        <v>33</v>
      </c>
      <c r="N5" s="7" t="s">
        <v>34</v>
      </c>
      <c r="O5" s="10" t="s">
        <v>35</v>
      </c>
    </row>
    <row r="6">
      <c r="A6" s="4">
        <v>3.0</v>
      </c>
      <c r="B6" s="5" t="s">
        <v>16</v>
      </c>
      <c r="C6" s="6" t="s">
        <v>17</v>
      </c>
      <c r="D6" s="4">
        <v>1.0</v>
      </c>
      <c r="E6" s="6" t="s">
        <v>18</v>
      </c>
      <c r="F6" s="6" t="s">
        <v>36</v>
      </c>
      <c r="G6" s="6" t="s">
        <v>20</v>
      </c>
      <c r="H6" s="6" t="s">
        <v>20</v>
      </c>
      <c r="I6" s="6" t="s">
        <v>37</v>
      </c>
      <c r="J6" s="12" t="s">
        <v>30</v>
      </c>
      <c r="K6" s="6" t="s">
        <v>38</v>
      </c>
      <c r="L6" s="6" t="s">
        <v>39</v>
      </c>
      <c r="M6" s="6" t="s">
        <v>40</v>
      </c>
      <c r="N6" s="7" t="s">
        <v>41</v>
      </c>
      <c r="O6" s="6" t="s">
        <v>42</v>
      </c>
    </row>
    <row r="7">
      <c r="A7" s="8">
        <v>4.0</v>
      </c>
      <c r="B7" s="9" t="s">
        <v>16</v>
      </c>
      <c r="C7" s="10" t="s">
        <v>17</v>
      </c>
      <c r="D7" s="8">
        <v>1.0</v>
      </c>
      <c r="E7" s="10" t="s">
        <v>18</v>
      </c>
      <c r="F7" s="10" t="s">
        <v>43</v>
      </c>
      <c r="G7" s="10" t="s">
        <v>20</v>
      </c>
      <c r="H7" s="10" t="s">
        <v>44</v>
      </c>
      <c r="I7" s="10" t="s">
        <v>45</v>
      </c>
      <c r="J7" s="11" t="s">
        <v>30</v>
      </c>
      <c r="K7" s="10" t="s">
        <v>46</v>
      </c>
      <c r="L7" s="10" t="s">
        <v>47</v>
      </c>
      <c r="M7" s="10" t="s">
        <v>33</v>
      </c>
      <c r="N7" s="7" t="s">
        <v>48</v>
      </c>
      <c r="O7" s="10" t="s">
        <v>49</v>
      </c>
    </row>
    <row r="8">
      <c r="A8" s="4">
        <v>5.0</v>
      </c>
      <c r="B8" s="5" t="s">
        <v>16</v>
      </c>
      <c r="C8" s="6" t="s">
        <v>17</v>
      </c>
      <c r="D8" s="4">
        <v>1.0</v>
      </c>
      <c r="E8" s="6" t="s">
        <v>18</v>
      </c>
      <c r="F8" s="6" t="s">
        <v>50</v>
      </c>
      <c r="G8" s="6" t="s">
        <v>20</v>
      </c>
      <c r="H8" s="6" t="s">
        <v>44</v>
      </c>
      <c r="I8" s="12" t="s">
        <v>30</v>
      </c>
      <c r="J8" s="12" t="s">
        <v>30</v>
      </c>
      <c r="K8" s="6" t="s">
        <v>51</v>
      </c>
      <c r="L8" s="6" t="s">
        <v>52</v>
      </c>
      <c r="M8" s="6" t="s">
        <v>25</v>
      </c>
      <c r="N8" s="7" t="s">
        <v>53</v>
      </c>
      <c r="O8" s="12" t="s">
        <v>30</v>
      </c>
    </row>
    <row r="9">
      <c r="A9" s="8">
        <v>6.0</v>
      </c>
      <c r="B9" s="9" t="s">
        <v>16</v>
      </c>
      <c r="C9" s="10" t="s">
        <v>17</v>
      </c>
      <c r="D9" s="8">
        <v>2.0</v>
      </c>
      <c r="E9" s="10" t="s">
        <v>54</v>
      </c>
      <c r="F9" s="10" t="s">
        <v>55</v>
      </c>
      <c r="G9" s="10" t="s">
        <v>20</v>
      </c>
      <c r="H9" s="10" t="s">
        <v>20</v>
      </c>
      <c r="I9" s="11" t="s">
        <v>30</v>
      </c>
      <c r="J9" s="11" t="s">
        <v>30</v>
      </c>
      <c r="K9" s="10" t="s">
        <v>56</v>
      </c>
      <c r="L9" s="10" t="s">
        <v>57</v>
      </c>
      <c r="M9" s="10" t="s">
        <v>25</v>
      </c>
      <c r="N9" s="7" t="s">
        <v>58</v>
      </c>
      <c r="O9" s="10" t="s">
        <v>59</v>
      </c>
    </row>
    <row r="10">
      <c r="A10" s="4">
        <v>7.0</v>
      </c>
      <c r="B10" s="5" t="s">
        <v>16</v>
      </c>
      <c r="C10" s="6" t="s">
        <v>17</v>
      </c>
      <c r="D10" s="4">
        <v>2.0</v>
      </c>
      <c r="E10" s="6" t="s">
        <v>18</v>
      </c>
      <c r="F10" s="6" t="s">
        <v>60</v>
      </c>
      <c r="G10" s="6" t="s">
        <v>20</v>
      </c>
      <c r="H10" s="6" t="s">
        <v>44</v>
      </c>
      <c r="I10" s="12" t="s">
        <v>30</v>
      </c>
      <c r="J10" s="12" t="s">
        <v>30</v>
      </c>
      <c r="K10" s="6" t="s">
        <v>61</v>
      </c>
      <c r="L10" s="6" t="s">
        <v>62</v>
      </c>
      <c r="M10" s="6" t="s">
        <v>40</v>
      </c>
      <c r="N10" s="7" t="s">
        <v>63</v>
      </c>
      <c r="O10" s="12" t="s">
        <v>30</v>
      </c>
    </row>
    <row r="11">
      <c r="A11" s="8">
        <v>8.0</v>
      </c>
      <c r="B11" s="9" t="s">
        <v>16</v>
      </c>
      <c r="C11" s="10" t="s">
        <v>17</v>
      </c>
      <c r="D11" s="8">
        <v>2.0</v>
      </c>
      <c r="E11" s="10" t="s">
        <v>18</v>
      </c>
      <c r="F11" s="10" t="s">
        <v>64</v>
      </c>
      <c r="G11" s="10" t="s">
        <v>20</v>
      </c>
      <c r="H11" s="10" t="s">
        <v>44</v>
      </c>
      <c r="I11" s="10" t="s">
        <v>65</v>
      </c>
      <c r="J11" s="11" t="s">
        <v>30</v>
      </c>
      <c r="K11" s="10" t="s">
        <v>66</v>
      </c>
      <c r="L11" s="10" t="s">
        <v>67</v>
      </c>
      <c r="M11" s="10" t="s">
        <v>25</v>
      </c>
      <c r="N11" s="7" t="s">
        <v>68</v>
      </c>
      <c r="O11" s="10" t="s">
        <v>69</v>
      </c>
    </row>
    <row r="12">
      <c r="A12" s="4">
        <v>9.0</v>
      </c>
      <c r="B12" s="5" t="s">
        <v>16</v>
      </c>
      <c r="C12" s="6" t="s">
        <v>17</v>
      </c>
      <c r="D12" s="4">
        <v>2.0</v>
      </c>
      <c r="E12" s="6" t="s">
        <v>18</v>
      </c>
      <c r="F12" s="6" t="s">
        <v>70</v>
      </c>
      <c r="G12" s="6" t="s">
        <v>20</v>
      </c>
      <c r="H12" s="6" t="s">
        <v>20</v>
      </c>
      <c r="I12" s="6" t="s">
        <v>71</v>
      </c>
      <c r="J12" s="12" t="s">
        <v>30</v>
      </c>
      <c r="K12" s="6" t="s">
        <v>23</v>
      </c>
      <c r="L12" s="6" t="s">
        <v>72</v>
      </c>
      <c r="M12" s="6" t="s">
        <v>33</v>
      </c>
      <c r="N12" s="7" t="s">
        <v>73</v>
      </c>
      <c r="O12" s="6" t="s">
        <v>74</v>
      </c>
    </row>
    <row r="13">
      <c r="A13" s="8">
        <v>10.0</v>
      </c>
      <c r="B13" s="9" t="s">
        <v>16</v>
      </c>
      <c r="C13" s="10" t="s">
        <v>17</v>
      </c>
      <c r="D13" s="8">
        <v>2.0</v>
      </c>
      <c r="E13" s="10" t="s">
        <v>18</v>
      </c>
      <c r="F13" s="10" t="s">
        <v>75</v>
      </c>
      <c r="G13" s="10" t="s">
        <v>20</v>
      </c>
      <c r="H13" s="10" t="s">
        <v>20</v>
      </c>
      <c r="I13" s="10" t="s">
        <v>76</v>
      </c>
      <c r="J13" s="11" t="s">
        <v>30</v>
      </c>
      <c r="K13" s="10" t="s">
        <v>77</v>
      </c>
      <c r="L13" s="10" t="s">
        <v>78</v>
      </c>
      <c r="M13" s="10" t="s">
        <v>33</v>
      </c>
      <c r="N13" s="7" t="s">
        <v>79</v>
      </c>
      <c r="O13" s="11" t="s">
        <v>30</v>
      </c>
    </row>
    <row r="14">
      <c r="A14" s="4">
        <v>11.0</v>
      </c>
      <c r="B14" s="5" t="s">
        <v>16</v>
      </c>
      <c r="C14" s="6" t="s">
        <v>80</v>
      </c>
      <c r="D14" s="13" t="s">
        <v>30</v>
      </c>
      <c r="E14" s="6" t="s">
        <v>18</v>
      </c>
      <c r="F14" s="6" t="s">
        <v>81</v>
      </c>
      <c r="G14" s="12" t="s">
        <v>30</v>
      </c>
      <c r="H14" s="12" t="s">
        <v>30</v>
      </c>
      <c r="I14" s="12" t="s">
        <v>30</v>
      </c>
      <c r="J14" s="12" t="s">
        <v>30</v>
      </c>
      <c r="K14" s="6" t="s">
        <v>82</v>
      </c>
      <c r="L14" s="6" t="s">
        <v>83</v>
      </c>
      <c r="M14" s="6" t="s">
        <v>84</v>
      </c>
      <c r="N14" s="7" t="s">
        <v>85</v>
      </c>
      <c r="O14" s="6" t="s">
        <v>86</v>
      </c>
    </row>
    <row r="15">
      <c r="A15" s="8">
        <v>12.0</v>
      </c>
      <c r="B15" s="9" t="s">
        <v>16</v>
      </c>
      <c r="C15" s="10" t="s">
        <v>80</v>
      </c>
      <c r="D15" s="14" t="s">
        <v>30</v>
      </c>
      <c r="E15" s="10" t="s">
        <v>18</v>
      </c>
      <c r="F15" s="10" t="s">
        <v>87</v>
      </c>
      <c r="G15" s="11" t="s">
        <v>30</v>
      </c>
      <c r="H15" s="11" t="s">
        <v>30</v>
      </c>
      <c r="I15" s="11" t="s">
        <v>30</v>
      </c>
      <c r="J15" s="11" t="s">
        <v>30</v>
      </c>
      <c r="K15" s="10" t="s">
        <v>88</v>
      </c>
      <c r="L15" s="10" t="s">
        <v>89</v>
      </c>
      <c r="M15" s="10" t="s">
        <v>90</v>
      </c>
      <c r="N15" s="7" t="s">
        <v>91</v>
      </c>
      <c r="O15" s="11" t="s">
        <v>30</v>
      </c>
    </row>
    <row r="16">
      <c r="A16" s="4">
        <v>13.0</v>
      </c>
      <c r="B16" s="5" t="s">
        <v>16</v>
      </c>
      <c r="C16" s="6" t="s">
        <v>92</v>
      </c>
      <c r="D16" s="13" t="s">
        <v>30</v>
      </c>
      <c r="E16" s="6" t="s">
        <v>18</v>
      </c>
      <c r="F16" s="6" t="s">
        <v>93</v>
      </c>
      <c r="G16" s="12" t="s">
        <v>30</v>
      </c>
      <c r="H16" s="12" t="s">
        <v>30</v>
      </c>
      <c r="I16" s="12" t="s">
        <v>30</v>
      </c>
      <c r="J16" s="12" t="s">
        <v>30</v>
      </c>
      <c r="K16" s="6" t="s">
        <v>94</v>
      </c>
      <c r="L16" s="6" t="s">
        <v>95</v>
      </c>
      <c r="M16" s="6" t="s">
        <v>25</v>
      </c>
      <c r="N16" s="7" t="s">
        <v>96</v>
      </c>
      <c r="O16" s="6" t="s">
        <v>97</v>
      </c>
    </row>
    <row r="17">
      <c r="A17" s="8">
        <v>14.0</v>
      </c>
      <c r="B17" s="9" t="s">
        <v>16</v>
      </c>
      <c r="C17" s="10" t="s">
        <v>92</v>
      </c>
      <c r="D17" s="14" t="s">
        <v>30</v>
      </c>
      <c r="E17" s="10" t="s">
        <v>44</v>
      </c>
      <c r="F17" s="10" t="s">
        <v>98</v>
      </c>
      <c r="G17" s="11" t="s">
        <v>30</v>
      </c>
      <c r="H17" s="11" t="s">
        <v>30</v>
      </c>
      <c r="I17" s="11" t="s">
        <v>30</v>
      </c>
      <c r="J17" s="11" t="s">
        <v>30</v>
      </c>
      <c r="K17" s="10" t="s">
        <v>99</v>
      </c>
      <c r="L17" s="10" t="s">
        <v>100</v>
      </c>
      <c r="M17" s="10" t="s">
        <v>25</v>
      </c>
      <c r="N17" s="7" t="s">
        <v>101</v>
      </c>
      <c r="O17" s="10" t="s">
        <v>102</v>
      </c>
    </row>
    <row r="18">
      <c r="A18" s="4">
        <v>15.0</v>
      </c>
      <c r="B18" s="5" t="s">
        <v>16</v>
      </c>
      <c r="C18" s="6" t="s">
        <v>92</v>
      </c>
      <c r="D18" s="13" t="s">
        <v>30</v>
      </c>
      <c r="E18" s="6" t="s">
        <v>44</v>
      </c>
      <c r="F18" s="6" t="s">
        <v>103</v>
      </c>
      <c r="G18" s="12" t="s">
        <v>30</v>
      </c>
      <c r="H18" s="12" t="s">
        <v>30</v>
      </c>
      <c r="I18" s="12" t="s">
        <v>30</v>
      </c>
      <c r="J18" s="12" t="s">
        <v>30</v>
      </c>
      <c r="K18" s="6" t="s">
        <v>104</v>
      </c>
      <c r="L18" s="6" t="s">
        <v>105</v>
      </c>
      <c r="M18" s="6" t="s">
        <v>25</v>
      </c>
      <c r="N18" s="7" t="s">
        <v>106</v>
      </c>
      <c r="O18" s="6" t="s">
        <v>107</v>
      </c>
    </row>
    <row r="19">
      <c r="A19" s="8">
        <v>16.0</v>
      </c>
      <c r="B19" s="9" t="s">
        <v>16</v>
      </c>
      <c r="C19" s="10" t="s">
        <v>92</v>
      </c>
      <c r="D19" s="14" t="s">
        <v>30</v>
      </c>
      <c r="E19" s="10" t="s">
        <v>44</v>
      </c>
      <c r="F19" s="10" t="s">
        <v>108</v>
      </c>
      <c r="G19" s="11" t="s">
        <v>30</v>
      </c>
      <c r="H19" s="11" t="s">
        <v>30</v>
      </c>
      <c r="I19" s="11" t="s">
        <v>30</v>
      </c>
      <c r="J19" s="11" t="s">
        <v>30</v>
      </c>
      <c r="K19" s="10" t="s">
        <v>109</v>
      </c>
      <c r="L19" s="10" t="s">
        <v>110</v>
      </c>
      <c r="M19" s="10" t="s">
        <v>25</v>
      </c>
      <c r="N19" s="7" t="s">
        <v>111</v>
      </c>
      <c r="O19" s="10" t="s">
        <v>112</v>
      </c>
    </row>
    <row r="20">
      <c r="A20" s="4">
        <v>17.0</v>
      </c>
      <c r="B20" s="5" t="s">
        <v>16</v>
      </c>
      <c r="C20" s="6" t="s">
        <v>113</v>
      </c>
      <c r="D20" s="13" t="s">
        <v>30</v>
      </c>
      <c r="E20" s="6" t="s">
        <v>44</v>
      </c>
      <c r="F20" s="6" t="s">
        <v>114</v>
      </c>
      <c r="G20" s="12" t="s">
        <v>30</v>
      </c>
      <c r="H20" s="12" t="s">
        <v>30</v>
      </c>
      <c r="I20" s="12" t="s">
        <v>30</v>
      </c>
      <c r="J20" s="12" t="s">
        <v>30</v>
      </c>
      <c r="K20" s="6" t="s">
        <v>115</v>
      </c>
      <c r="L20" s="6" t="s">
        <v>116</v>
      </c>
      <c r="M20" s="6" t="s">
        <v>117</v>
      </c>
      <c r="N20" s="7" t="s">
        <v>118</v>
      </c>
      <c r="O20" s="6" t="s">
        <v>119</v>
      </c>
    </row>
    <row r="21">
      <c r="A21" s="8">
        <v>18.0</v>
      </c>
      <c r="B21" s="9" t="s">
        <v>16</v>
      </c>
      <c r="C21" s="10" t="s">
        <v>113</v>
      </c>
      <c r="D21" s="14" t="s">
        <v>30</v>
      </c>
      <c r="E21" s="10" t="s">
        <v>44</v>
      </c>
      <c r="F21" s="10" t="s">
        <v>120</v>
      </c>
      <c r="G21" s="11" t="s">
        <v>30</v>
      </c>
      <c r="H21" s="11" t="s">
        <v>30</v>
      </c>
      <c r="I21" s="11" t="s">
        <v>30</v>
      </c>
      <c r="J21" s="11" t="s">
        <v>30</v>
      </c>
      <c r="K21" s="10" t="s">
        <v>121</v>
      </c>
      <c r="L21" s="10" t="s">
        <v>122</v>
      </c>
      <c r="M21" s="10" t="s">
        <v>123</v>
      </c>
      <c r="N21" s="7" t="s">
        <v>124</v>
      </c>
      <c r="O21" s="10" t="s">
        <v>125</v>
      </c>
    </row>
    <row r="22">
      <c r="A22" s="4">
        <v>19.0</v>
      </c>
      <c r="B22" s="5" t="s">
        <v>16</v>
      </c>
      <c r="C22" s="6" t="s">
        <v>113</v>
      </c>
      <c r="D22" s="13" t="s">
        <v>30</v>
      </c>
      <c r="E22" s="6" t="s">
        <v>44</v>
      </c>
      <c r="F22" s="6" t="s">
        <v>126</v>
      </c>
      <c r="G22" s="12" t="s">
        <v>30</v>
      </c>
      <c r="H22" s="12" t="s">
        <v>30</v>
      </c>
      <c r="I22" s="12" t="s">
        <v>30</v>
      </c>
      <c r="J22" s="12" t="s">
        <v>30</v>
      </c>
      <c r="K22" s="6" t="s">
        <v>127</v>
      </c>
      <c r="L22" s="6" t="s">
        <v>128</v>
      </c>
      <c r="M22" s="6" t="s">
        <v>128</v>
      </c>
      <c r="N22" s="12" t="s">
        <v>30</v>
      </c>
      <c r="O22" s="6" t="s">
        <v>129</v>
      </c>
    </row>
    <row r="23">
      <c r="A23" s="8">
        <v>20.0</v>
      </c>
      <c r="B23" s="9" t="s">
        <v>16</v>
      </c>
      <c r="C23" s="10" t="s">
        <v>113</v>
      </c>
      <c r="D23" s="14" t="s">
        <v>30</v>
      </c>
      <c r="E23" s="10" t="s">
        <v>44</v>
      </c>
      <c r="F23" s="10" t="s">
        <v>130</v>
      </c>
      <c r="G23" s="11" t="s">
        <v>30</v>
      </c>
      <c r="H23" s="11" t="s">
        <v>30</v>
      </c>
      <c r="I23" s="11" t="s">
        <v>30</v>
      </c>
      <c r="J23" s="11" t="s">
        <v>30</v>
      </c>
      <c r="K23" s="10" t="s">
        <v>131</v>
      </c>
      <c r="L23" s="10" t="s">
        <v>132</v>
      </c>
      <c r="M23" s="10" t="s">
        <v>133</v>
      </c>
      <c r="N23" s="7" t="s">
        <v>134</v>
      </c>
      <c r="O23" s="10" t="s">
        <v>135</v>
      </c>
    </row>
    <row r="24">
      <c r="A24" s="4">
        <v>21.0</v>
      </c>
      <c r="B24" s="15" t="s">
        <v>136</v>
      </c>
      <c r="C24" s="6" t="s">
        <v>113</v>
      </c>
      <c r="D24" s="13" t="s">
        <v>30</v>
      </c>
      <c r="E24" s="6" t="s">
        <v>44</v>
      </c>
      <c r="F24" s="6" t="s">
        <v>137</v>
      </c>
      <c r="G24" s="12" t="s">
        <v>30</v>
      </c>
      <c r="H24" s="12" t="s">
        <v>30</v>
      </c>
      <c r="I24" s="12" t="s">
        <v>30</v>
      </c>
      <c r="J24" s="12" t="s">
        <v>30</v>
      </c>
      <c r="K24" s="6" t="s">
        <v>138</v>
      </c>
      <c r="L24" s="6" t="s">
        <v>139</v>
      </c>
      <c r="M24" s="6" t="s">
        <v>140</v>
      </c>
      <c r="N24" s="7" t="s">
        <v>141</v>
      </c>
      <c r="O24" s="6" t="s">
        <v>142</v>
      </c>
    </row>
    <row r="25">
      <c r="A25" s="8">
        <v>22.0</v>
      </c>
      <c r="B25" s="16" t="s">
        <v>136</v>
      </c>
      <c r="C25" s="10" t="s">
        <v>113</v>
      </c>
      <c r="D25" s="14" t="s">
        <v>30</v>
      </c>
      <c r="E25" s="10" t="s">
        <v>44</v>
      </c>
      <c r="F25" s="10" t="s">
        <v>143</v>
      </c>
      <c r="G25" s="11" t="s">
        <v>30</v>
      </c>
      <c r="H25" s="11" t="s">
        <v>30</v>
      </c>
      <c r="I25" s="11" t="s">
        <v>30</v>
      </c>
      <c r="J25" s="11" t="s">
        <v>30</v>
      </c>
      <c r="K25" s="10" t="s">
        <v>144</v>
      </c>
      <c r="L25" s="10" t="s">
        <v>145</v>
      </c>
      <c r="M25" s="10" t="s">
        <v>146</v>
      </c>
      <c r="N25" s="7" t="s">
        <v>147</v>
      </c>
      <c r="O25" s="10" t="s">
        <v>148</v>
      </c>
    </row>
    <row r="26">
      <c r="A26" s="4">
        <v>23.0</v>
      </c>
      <c r="B26" s="5" t="s">
        <v>16</v>
      </c>
      <c r="C26" s="12" t="s">
        <v>30</v>
      </c>
      <c r="D26" s="13" t="s">
        <v>30</v>
      </c>
      <c r="E26" s="12" t="s">
        <v>30</v>
      </c>
      <c r="F26" s="6" t="s">
        <v>149</v>
      </c>
      <c r="G26" s="12" t="s">
        <v>30</v>
      </c>
      <c r="H26" s="12" t="s">
        <v>30</v>
      </c>
      <c r="I26" s="12" t="s">
        <v>30</v>
      </c>
      <c r="J26" s="12" t="s">
        <v>30</v>
      </c>
      <c r="K26" s="6" t="s">
        <v>150</v>
      </c>
      <c r="L26" s="6" t="s">
        <v>151</v>
      </c>
      <c r="M26" s="6" t="s">
        <v>152</v>
      </c>
      <c r="N26" s="7" t="s">
        <v>153</v>
      </c>
      <c r="O26" s="6" t="s">
        <v>154</v>
      </c>
    </row>
    <row r="27">
      <c r="A27" s="8">
        <v>24.0</v>
      </c>
      <c r="B27" s="9" t="s">
        <v>16</v>
      </c>
      <c r="C27" s="11" t="s">
        <v>30</v>
      </c>
      <c r="D27" s="14" t="s">
        <v>30</v>
      </c>
      <c r="E27" s="11" t="s">
        <v>30</v>
      </c>
      <c r="F27" s="10" t="s">
        <v>155</v>
      </c>
      <c r="G27" s="11" t="s">
        <v>30</v>
      </c>
      <c r="H27" s="11" t="s">
        <v>30</v>
      </c>
      <c r="I27" s="11" t="s">
        <v>30</v>
      </c>
      <c r="J27" s="11" t="s">
        <v>30</v>
      </c>
      <c r="K27" s="10" t="s">
        <v>156</v>
      </c>
      <c r="L27" s="10" t="s">
        <v>128</v>
      </c>
      <c r="M27" s="10" t="s">
        <v>128</v>
      </c>
      <c r="N27" s="11" t="s">
        <v>30</v>
      </c>
      <c r="O27" s="11" t="s">
        <v>30</v>
      </c>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O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5.25"/>
    <col customWidth="1" min="3" max="5" width="7.0"/>
    <col customWidth="1" min="6" max="6" width="14.0"/>
    <col customWidth="1" min="7" max="7" width="26.25"/>
    <col customWidth="1" min="8" max="8" width="15.75"/>
    <col customWidth="1" min="9" max="9" width="8.75"/>
    <col customWidth="1" min="10" max="10" width="10.5"/>
    <col customWidth="1" min="11" max="11" width="11.38"/>
    <col customWidth="1" min="12" max="12" width="21.0"/>
    <col customWidth="1" min="13" max="13" width="8.75"/>
    <col customWidth="1" min="14" max="14" width="10.5"/>
    <col customWidth="1" min="15" max="15" width="8.75"/>
    <col customWidth="1" min="16" max="16" width="10.5"/>
    <col customWidth="1" min="17" max="17" width="12.25"/>
    <col customWidth="1" min="18" max="18" width="10.5"/>
    <col customWidth="1" min="19" max="19" width="7.0"/>
    <col customWidth="1" min="20" max="20" width="10.5"/>
    <col customWidth="1" min="21" max="21" width="8.75"/>
    <col customWidth="1" min="22" max="22" width="10.5"/>
    <col customWidth="1" min="23" max="23" width="8.75"/>
    <col customWidth="1" min="24" max="24" width="10.5"/>
    <col customWidth="1" min="25" max="25" width="8.75"/>
    <col customWidth="1" min="26" max="26" width="10.5"/>
    <col customWidth="1" min="27" max="27" width="24.5"/>
  </cols>
  <sheetData>
    <row r="1" ht="24.0" customHeight="1">
      <c r="A1" s="17" t="s">
        <v>157</v>
      </c>
      <c r="B1" s="2"/>
      <c r="C1" s="2"/>
      <c r="D1" s="2"/>
      <c r="E1" s="2"/>
      <c r="F1" s="2"/>
      <c r="G1" s="2"/>
      <c r="H1" s="2"/>
      <c r="I1" s="2"/>
      <c r="J1" s="2"/>
      <c r="K1" s="2"/>
      <c r="L1" s="2"/>
      <c r="M1" s="2"/>
      <c r="N1" s="2"/>
      <c r="O1" s="2"/>
      <c r="P1" s="2"/>
      <c r="Q1" s="2"/>
      <c r="R1" s="2"/>
      <c r="S1" s="2"/>
      <c r="T1" s="2"/>
      <c r="U1" s="2"/>
      <c r="V1" s="2"/>
      <c r="W1" s="2"/>
      <c r="X1" s="2"/>
      <c r="Y1" s="2"/>
      <c r="Z1" s="2"/>
      <c r="AA1" s="2"/>
    </row>
    <row r="3">
      <c r="A3" s="18" t="s">
        <v>158</v>
      </c>
      <c r="B3" s="2"/>
      <c r="D3" s="18" t="s">
        <v>159</v>
      </c>
      <c r="E3" s="2"/>
      <c r="G3" s="18" t="s">
        <v>160</v>
      </c>
      <c r="H3" s="2"/>
      <c r="J3" s="18" t="s">
        <v>161</v>
      </c>
      <c r="K3" s="2"/>
      <c r="M3" s="18" t="s">
        <v>162</v>
      </c>
      <c r="N3" s="2"/>
      <c r="P3" s="18" t="s">
        <v>163</v>
      </c>
      <c r="Q3" s="2"/>
      <c r="S3" s="18" t="s">
        <v>164</v>
      </c>
      <c r="T3" s="2"/>
    </row>
    <row r="4">
      <c r="A4" s="19">
        <f>COUNTA($A$8:$A$31)</f>
        <v>24</v>
      </c>
      <c r="B4" s="2"/>
      <c r="D4" s="19">
        <f>COUNTIF($H$8:$H$31,"&lt;&gt;")</f>
        <v>24</v>
      </c>
      <c r="E4" s="2"/>
      <c r="G4" s="19">
        <f>COUNTIF($I$8:$I$31,"済")</f>
        <v>0</v>
      </c>
      <c r="H4" s="2"/>
      <c r="J4" s="19">
        <f>COUNTIF($M$8:$M$31,"済")</f>
        <v>0</v>
      </c>
      <c r="K4" s="2"/>
      <c r="M4" s="19">
        <f>COUNTIF($O$8:$O$31,"済")</f>
        <v>0</v>
      </c>
      <c r="N4" s="2"/>
      <c r="P4" s="19">
        <f>COUNTIF($Q$8:$Q$31,"実施済")</f>
        <v>0</v>
      </c>
      <c r="Q4" s="2"/>
      <c r="S4" s="19">
        <f>COUNTIF($Y$8:$Y$31,"済")</f>
        <v>6</v>
      </c>
      <c r="T4" s="2"/>
    </row>
    <row r="6">
      <c r="A6" s="20" t="s">
        <v>165</v>
      </c>
      <c r="B6" s="2"/>
      <c r="C6" s="2"/>
      <c r="D6" s="2"/>
      <c r="E6" s="2"/>
      <c r="F6" s="2"/>
      <c r="G6" s="2"/>
      <c r="H6" s="2"/>
      <c r="I6" s="2"/>
      <c r="J6" s="2"/>
      <c r="K6" s="2"/>
      <c r="L6" s="2"/>
      <c r="M6" s="2"/>
      <c r="N6" s="2"/>
      <c r="O6" s="2"/>
      <c r="P6" s="2"/>
      <c r="Q6" s="2"/>
      <c r="R6" s="2"/>
      <c r="S6" s="2"/>
      <c r="T6" s="2"/>
      <c r="U6" s="2"/>
      <c r="V6" s="2"/>
      <c r="W6" s="2"/>
      <c r="X6" s="2"/>
      <c r="Y6" s="2"/>
      <c r="Z6" s="2"/>
      <c r="AA6" s="2"/>
    </row>
    <row r="7">
      <c r="A7" s="21" t="s">
        <v>1</v>
      </c>
      <c r="B7" s="21" t="s">
        <v>2</v>
      </c>
      <c r="C7" s="21" t="s">
        <v>3</v>
      </c>
      <c r="D7" s="21" t="s">
        <v>4</v>
      </c>
      <c r="E7" s="21" t="s">
        <v>5</v>
      </c>
      <c r="F7" s="21" t="s">
        <v>6</v>
      </c>
      <c r="G7" s="21" t="s">
        <v>12</v>
      </c>
      <c r="H7" s="21" t="s">
        <v>166</v>
      </c>
      <c r="I7" s="21" t="s">
        <v>167</v>
      </c>
      <c r="J7" s="21" t="s">
        <v>168</v>
      </c>
      <c r="K7" s="21" t="s">
        <v>169</v>
      </c>
      <c r="L7" s="21" t="s">
        <v>170</v>
      </c>
      <c r="M7" s="21" t="s">
        <v>171</v>
      </c>
      <c r="N7" s="21" t="s">
        <v>172</v>
      </c>
      <c r="O7" s="21" t="s">
        <v>173</v>
      </c>
      <c r="P7" s="21" t="s">
        <v>174</v>
      </c>
      <c r="Q7" s="21" t="s">
        <v>175</v>
      </c>
      <c r="R7" s="21" t="s">
        <v>176</v>
      </c>
      <c r="S7" s="21" t="s">
        <v>177</v>
      </c>
      <c r="T7" s="21" t="s">
        <v>178</v>
      </c>
      <c r="U7" s="21" t="s">
        <v>179</v>
      </c>
      <c r="V7" s="21" t="s">
        <v>180</v>
      </c>
      <c r="W7" s="21" t="s">
        <v>7</v>
      </c>
      <c r="X7" s="21" t="s">
        <v>181</v>
      </c>
      <c r="Y7" s="21" t="s">
        <v>182</v>
      </c>
      <c r="Z7" s="21" t="s">
        <v>183</v>
      </c>
      <c r="AA7" s="21" t="s">
        <v>15</v>
      </c>
    </row>
    <row r="8">
      <c r="A8" s="22">
        <v>1.0</v>
      </c>
      <c r="B8" s="22" t="s">
        <v>16</v>
      </c>
      <c r="C8" s="22" t="s">
        <v>17</v>
      </c>
      <c r="D8" s="22">
        <v>1.0</v>
      </c>
      <c r="E8" s="22" t="s">
        <v>18</v>
      </c>
      <c r="F8" s="6" t="s">
        <v>19</v>
      </c>
      <c r="G8" s="6" t="s">
        <v>24</v>
      </c>
      <c r="H8" s="6" t="s">
        <v>21</v>
      </c>
      <c r="I8" s="23" t="s">
        <v>30</v>
      </c>
      <c r="J8" s="24" t="s">
        <v>30</v>
      </c>
      <c r="K8" s="23" t="s">
        <v>30</v>
      </c>
      <c r="L8" s="12" t="s">
        <v>30</v>
      </c>
      <c r="M8" s="23" t="s">
        <v>30</v>
      </c>
      <c r="N8" s="24" t="s">
        <v>30</v>
      </c>
      <c r="O8" s="23" t="s">
        <v>30</v>
      </c>
      <c r="P8" s="24" t="s">
        <v>30</v>
      </c>
      <c r="Q8" s="23" t="s">
        <v>30</v>
      </c>
      <c r="R8" s="24" t="s">
        <v>30</v>
      </c>
      <c r="S8" s="23" t="s">
        <v>30</v>
      </c>
      <c r="T8" s="24" t="s">
        <v>30</v>
      </c>
      <c r="U8" s="23" t="s">
        <v>30</v>
      </c>
      <c r="V8" s="24" t="s">
        <v>30</v>
      </c>
      <c r="W8" s="22" t="s">
        <v>20</v>
      </c>
      <c r="X8" s="24" t="s">
        <v>30</v>
      </c>
      <c r="Y8" s="22" t="s">
        <v>20</v>
      </c>
      <c r="Z8" s="24" t="s">
        <v>30</v>
      </c>
      <c r="AA8" s="6" t="s">
        <v>27</v>
      </c>
    </row>
    <row r="9">
      <c r="A9" s="25">
        <v>2.0</v>
      </c>
      <c r="B9" s="25" t="s">
        <v>16</v>
      </c>
      <c r="C9" s="25" t="s">
        <v>17</v>
      </c>
      <c r="D9" s="25">
        <v>1.0</v>
      </c>
      <c r="E9" s="25" t="s">
        <v>18</v>
      </c>
      <c r="F9" s="10" t="s">
        <v>28</v>
      </c>
      <c r="G9" s="10" t="s">
        <v>32</v>
      </c>
      <c r="H9" s="10" t="s">
        <v>29</v>
      </c>
      <c r="I9" s="26" t="s">
        <v>30</v>
      </c>
      <c r="J9" s="27" t="s">
        <v>30</v>
      </c>
      <c r="K9" s="26" t="s">
        <v>30</v>
      </c>
      <c r="L9" s="11" t="s">
        <v>30</v>
      </c>
      <c r="M9" s="26" t="s">
        <v>30</v>
      </c>
      <c r="N9" s="27" t="s">
        <v>30</v>
      </c>
      <c r="O9" s="26" t="s">
        <v>30</v>
      </c>
      <c r="P9" s="27" t="s">
        <v>30</v>
      </c>
      <c r="Q9" s="26" t="s">
        <v>30</v>
      </c>
      <c r="R9" s="27" t="s">
        <v>30</v>
      </c>
      <c r="S9" s="26" t="s">
        <v>30</v>
      </c>
      <c r="T9" s="27" t="s">
        <v>30</v>
      </c>
      <c r="U9" s="26" t="s">
        <v>30</v>
      </c>
      <c r="V9" s="27" t="s">
        <v>30</v>
      </c>
      <c r="W9" s="25" t="s">
        <v>20</v>
      </c>
      <c r="X9" s="27" t="s">
        <v>30</v>
      </c>
      <c r="Y9" s="25" t="s">
        <v>20</v>
      </c>
      <c r="Z9" s="27" t="s">
        <v>30</v>
      </c>
      <c r="AA9" s="10" t="s">
        <v>35</v>
      </c>
    </row>
    <row r="10">
      <c r="A10" s="22">
        <v>3.0</v>
      </c>
      <c r="B10" s="22" t="s">
        <v>16</v>
      </c>
      <c r="C10" s="22" t="s">
        <v>17</v>
      </c>
      <c r="D10" s="22">
        <v>1.0</v>
      </c>
      <c r="E10" s="22" t="s">
        <v>18</v>
      </c>
      <c r="F10" s="6" t="s">
        <v>36</v>
      </c>
      <c r="G10" s="6" t="s">
        <v>39</v>
      </c>
      <c r="H10" s="6" t="s">
        <v>37</v>
      </c>
      <c r="I10" s="23" t="s">
        <v>30</v>
      </c>
      <c r="J10" s="24" t="s">
        <v>30</v>
      </c>
      <c r="K10" s="23" t="s">
        <v>30</v>
      </c>
      <c r="L10" s="12" t="s">
        <v>30</v>
      </c>
      <c r="M10" s="23" t="s">
        <v>30</v>
      </c>
      <c r="N10" s="24" t="s">
        <v>30</v>
      </c>
      <c r="O10" s="23" t="s">
        <v>30</v>
      </c>
      <c r="P10" s="24" t="s">
        <v>30</v>
      </c>
      <c r="Q10" s="23" t="s">
        <v>30</v>
      </c>
      <c r="R10" s="24" t="s">
        <v>30</v>
      </c>
      <c r="S10" s="23" t="s">
        <v>30</v>
      </c>
      <c r="T10" s="24" t="s">
        <v>30</v>
      </c>
      <c r="U10" s="23" t="s">
        <v>30</v>
      </c>
      <c r="V10" s="24" t="s">
        <v>30</v>
      </c>
      <c r="W10" s="22" t="s">
        <v>20</v>
      </c>
      <c r="X10" s="24" t="s">
        <v>30</v>
      </c>
      <c r="Y10" s="22" t="s">
        <v>20</v>
      </c>
      <c r="Z10" s="24" t="s">
        <v>30</v>
      </c>
      <c r="AA10" s="6" t="s">
        <v>42</v>
      </c>
    </row>
    <row r="11">
      <c r="A11" s="25">
        <v>4.0</v>
      </c>
      <c r="B11" s="25" t="s">
        <v>16</v>
      </c>
      <c r="C11" s="25" t="s">
        <v>17</v>
      </c>
      <c r="D11" s="25">
        <v>1.0</v>
      </c>
      <c r="E11" s="25" t="s">
        <v>18</v>
      </c>
      <c r="F11" s="10" t="s">
        <v>43</v>
      </c>
      <c r="G11" s="10" t="s">
        <v>47</v>
      </c>
      <c r="H11" s="10" t="s">
        <v>45</v>
      </c>
      <c r="I11" s="26" t="s">
        <v>30</v>
      </c>
      <c r="J11" s="27" t="s">
        <v>30</v>
      </c>
      <c r="K11" s="26" t="s">
        <v>30</v>
      </c>
      <c r="L11" s="11" t="s">
        <v>30</v>
      </c>
      <c r="M11" s="26" t="s">
        <v>30</v>
      </c>
      <c r="N11" s="27" t="s">
        <v>30</v>
      </c>
      <c r="O11" s="26" t="s">
        <v>30</v>
      </c>
      <c r="P11" s="27" t="s">
        <v>30</v>
      </c>
      <c r="Q11" s="26" t="s">
        <v>30</v>
      </c>
      <c r="R11" s="27" t="s">
        <v>30</v>
      </c>
      <c r="S11" s="26" t="s">
        <v>30</v>
      </c>
      <c r="T11" s="27" t="s">
        <v>30</v>
      </c>
      <c r="U11" s="26" t="s">
        <v>30</v>
      </c>
      <c r="V11" s="27" t="s">
        <v>30</v>
      </c>
      <c r="W11" s="25" t="s">
        <v>20</v>
      </c>
      <c r="X11" s="27" t="s">
        <v>30</v>
      </c>
      <c r="Y11" s="26" t="s">
        <v>30</v>
      </c>
      <c r="Z11" s="27" t="s">
        <v>30</v>
      </c>
      <c r="AA11" s="10" t="s">
        <v>49</v>
      </c>
    </row>
    <row r="12">
      <c r="A12" s="22">
        <v>5.0</v>
      </c>
      <c r="B12" s="22" t="s">
        <v>16</v>
      </c>
      <c r="C12" s="22" t="s">
        <v>17</v>
      </c>
      <c r="D12" s="22">
        <v>1.0</v>
      </c>
      <c r="E12" s="22" t="s">
        <v>18</v>
      </c>
      <c r="F12" s="6" t="s">
        <v>50</v>
      </c>
      <c r="G12" s="6" t="s">
        <v>52</v>
      </c>
      <c r="H12" s="12" t="s">
        <v>30</v>
      </c>
      <c r="I12" s="23" t="s">
        <v>30</v>
      </c>
      <c r="J12" s="24" t="s">
        <v>30</v>
      </c>
      <c r="K12" s="23" t="s">
        <v>30</v>
      </c>
      <c r="L12" s="12" t="s">
        <v>30</v>
      </c>
      <c r="M12" s="23" t="s">
        <v>30</v>
      </c>
      <c r="N12" s="24" t="s">
        <v>30</v>
      </c>
      <c r="O12" s="23" t="s">
        <v>30</v>
      </c>
      <c r="P12" s="24" t="s">
        <v>30</v>
      </c>
      <c r="Q12" s="23" t="s">
        <v>30</v>
      </c>
      <c r="R12" s="24" t="s">
        <v>30</v>
      </c>
      <c r="S12" s="23" t="s">
        <v>30</v>
      </c>
      <c r="T12" s="24" t="s">
        <v>30</v>
      </c>
      <c r="U12" s="23" t="s">
        <v>30</v>
      </c>
      <c r="V12" s="24" t="s">
        <v>30</v>
      </c>
      <c r="W12" s="22" t="s">
        <v>20</v>
      </c>
      <c r="X12" s="24" t="s">
        <v>30</v>
      </c>
      <c r="Y12" s="23" t="s">
        <v>30</v>
      </c>
      <c r="Z12" s="24" t="s">
        <v>30</v>
      </c>
      <c r="AA12" s="12" t="s">
        <v>30</v>
      </c>
    </row>
    <row r="13">
      <c r="A13" s="25">
        <v>6.0</v>
      </c>
      <c r="B13" s="25" t="s">
        <v>16</v>
      </c>
      <c r="C13" s="25" t="s">
        <v>17</v>
      </c>
      <c r="D13" s="25">
        <v>2.0</v>
      </c>
      <c r="E13" s="25" t="s">
        <v>54</v>
      </c>
      <c r="F13" s="10" t="s">
        <v>55</v>
      </c>
      <c r="G13" s="10" t="s">
        <v>57</v>
      </c>
      <c r="H13" s="11" t="s">
        <v>30</v>
      </c>
      <c r="I13" s="26" t="s">
        <v>30</v>
      </c>
      <c r="J13" s="27" t="s">
        <v>30</v>
      </c>
      <c r="K13" s="26" t="s">
        <v>30</v>
      </c>
      <c r="L13" s="11" t="s">
        <v>30</v>
      </c>
      <c r="M13" s="26" t="s">
        <v>30</v>
      </c>
      <c r="N13" s="27" t="s">
        <v>30</v>
      </c>
      <c r="O13" s="26" t="s">
        <v>30</v>
      </c>
      <c r="P13" s="27" t="s">
        <v>30</v>
      </c>
      <c r="Q13" s="26" t="s">
        <v>30</v>
      </c>
      <c r="R13" s="27" t="s">
        <v>30</v>
      </c>
      <c r="S13" s="26" t="s">
        <v>30</v>
      </c>
      <c r="T13" s="27" t="s">
        <v>30</v>
      </c>
      <c r="U13" s="26" t="s">
        <v>30</v>
      </c>
      <c r="V13" s="27" t="s">
        <v>30</v>
      </c>
      <c r="W13" s="25" t="s">
        <v>20</v>
      </c>
      <c r="X13" s="27" t="s">
        <v>30</v>
      </c>
      <c r="Y13" s="25" t="s">
        <v>20</v>
      </c>
      <c r="Z13" s="27" t="s">
        <v>30</v>
      </c>
      <c r="AA13" s="10" t="s">
        <v>59</v>
      </c>
    </row>
    <row r="14">
      <c r="A14" s="22">
        <v>7.0</v>
      </c>
      <c r="B14" s="22" t="s">
        <v>16</v>
      </c>
      <c r="C14" s="22" t="s">
        <v>17</v>
      </c>
      <c r="D14" s="22">
        <v>2.0</v>
      </c>
      <c r="E14" s="22" t="s">
        <v>18</v>
      </c>
      <c r="F14" s="6" t="s">
        <v>60</v>
      </c>
      <c r="G14" s="6" t="s">
        <v>62</v>
      </c>
      <c r="H14" s="12" t="s">
        <v>30</v>
      </c>
      <c r="I14" s="23" t="s">
        <v>30</v>
      </c>
      <c r="J14" s="24" t="s">
        <v>30</v>
      </c>
      <c r="K14" s="23" t="s">
        <v>30</v>
      </c>
      <c r="L14" s="12" t="s">
        <v>30</v>
      </c>
      <c r="M14" s="23" t="s">
        <v>30</v>
      </c>
      <c r="N14" s="24" t="s">
        <v>30</v>
      </c>
      <c r="O14" s="23" t="s">
        <v>30</v>
      </c>
      <c r="P14" s="24" t="s">
        <v>30</v>
      </c>
      <c r="Q14" s="23" t="s">
        <v>30</v>
      </c>
      <c r="R14" s="24" t="s">
        <v>30</v>
      </c>
      <c r="S14" s="23" t="s">
        <v>30</v>
      </c>
      <c r="T14" s="24" t="s">
        <v>30</v>
      </c>
      <c r="U14" s="23" t="s">
        <v>30</v>
      </c>
      <c r="V14" s="24" t="s">
        <v>30</v>
      </c>
      <c r="W14" s="22" t="s">
        <v>20</v>
      </c>
      <c r="X14" s="24" t="s">
        <v>30</v>
      </c>
      <c r="Y14" s="23" t="s">
        <v>30</v>
      </c>
      <c r="Z14" s="24" t="s">
        <v>30</v>
      </c>
      <c r="AA14" s="12" t="s">
        <v>30</v>
      </c>
    </row>
    <row r="15">
      <c r="A15" s="25">
        <v>8.0</v>
      </c>
      <c r="B15" s="25" t="s">
        <v>16</v>
      </c>
      <c r="C15" s="25" t="s">
        <v>17</v>
      </c>
      <c r="D15" s="25">
        <v>2.0</v>
      </c>
      <c r="E15" s="25" t="s">
        <v>18</v>
      </c>
      <c r="F15" s="10" t="s">
        <v>64</v>
      </c>
      <c r="G15" s="10" t="s">
        <v>67</v>
      </c>
      <c r="H15" s="10" t="s">
        <v>65</v>
      </c>
      <c r="I15" s="26" t="s">
        <v>30</v>
      </c>
      <c r="J15" s="27" t="s">
        <v>30</v>
      </c>
      <c r="K15" s="26" t="s">
        <v>30</v>
      </c>
      <c r="L15" s="11" t="s">
        <v>30</v>
      </c>
      <c r="M15" s="26" t="s">
        <v>30</v>
      </c>
      <c r="N15" s="27" t="s">
        <v>30</v>
      </c>
      <c r="O15" s="26" t="s">
        <v>30</v>
      </c>
      <c r="P15" s="27" t="s">
        <v>30</v>
      </c>
      <c r="Q15" s="26" t="s">
        <v>30</v>
      </c>
      <c r="R15" s="27" t="s">
        <v>30</v>
      </c>
      <c r="S15" s="26" t="s">
        <v>30</v>
      </c>
      <c r="T15" s="27" t="s">
        <v>30</v>
      </c>
      <c r="U15" s="26" t="s">
        <v>30</v>
      </c>
      <c r="V15" s="27" t="s">
        <v>30</v>
      </c>
      <c r="W15" s="25" t="s">
        <v>20</v>
      </c>
      <c r="X15" s="27" t="s">
        <v>30</v>
      </c>
      <c r="Y15" s="26" t="s">
        <v>30</v>
      </c>
      <c r="Z15" s="27" t="s">
        <v>30</v>
      </c>
      <c r="AA15" s="10" t="s">
        <v>69</v>
      </c>
    </row>
    <row r="16">
      <c r="A16" s="22">
        <v>9.0</v>
      </c>
      <c r="B16" s="22" t="s">
        <v>16</v>
      </c>
      <c r="C16" s="22" t="s">
        <v>17</v>
      </c>
      <c r="D16" s="22">
        <v>2.0</v>
      </c>
      <c r="E16" s="22" t="s">
        <v>18</v>
      </c>
      <c r="F16" s="6" t="s">
        <v>70</v>
      </c>
      <c r="G16" s="6" t="s">
        <v>72</v>
      </c>
      <c r="H16" s="6" t="s">
        <v>71</v>
      </c>
      <c r="I16" s="23" t="s">
        <v>30</v>
      </c>
      <c r="J16" s="24" t="s">
        <v>30</v>
      </c>
      <c r="K16" s="23" t="s">
        <v>30</v>
      </c>
      <c r="L16" s="12" t="s">
        <v>30</v>
      </c>
      <c r="M16" s="23" t="s">
        <v>30</v>
      </c>
      <c r="N16" s="24" t="s">
        <v>30</v>
      </c>
      <c r="O16" s="23" t="s">
        <v>30</v>
      </c>
      <c r="P16" s="24" t="s">
        <v>30</v>
      </c>
      <c r="Q16" s="23" t="s">
        <v>30</v>
      </c>
      <c r="R16" s="24" t="s">
        <v>30</v>
      </c>
      <c r="S16" s="23" t="s">
        <v>30</v>
      </c>
      <c r="T16" s="24" t="s">
        <v>30</v>
      </c>
      <c r="U16" s="23" t="s">
        <v>30</v>
      </c>
      <c r="V16" s="24" t="s">
        <v>30</v>
      </c>
      <c r="W16" s="22" t="s">
        <v>20</v>
      </c>
      <c r="X16" s="24" t="s">
        <v>30</v>
      </c>
      <c r="Y16" s="22" t="s">
        <v>20</v>
      </c>
      <c r="Z16" s="24" t="s">
        <v>30</v>
      </c>
      <c r="AA16" s="6" t="s">
        <v>74</v>
      </c>
    </row>
    <row r="17">
      <c r="A17" s="25">
        <v>10.0</v>
      </c>
      <c r="B17" s="25" t="s">
        <v>16</v>
      </c>
      <c r="C17" s="25" t="s">
        <v>17</v>
      </c>
      <c r="D17" s="25">
        <v>2.0</v>
      </c>
      <c r="E17" s="25" t="s">
        <v>18</v>
      </c>
      <c r="F17" s="10" t="s">
        <v>75</v>
      </c>
      <c r="G17" s="10" t="s">
        <v>78</v>
      </c>
      <c r="H17" s="10" t="s">
        <v>76</v>
      </c>
      <c r="I17" s="26" t="s">
        <v>30</v>
      </c>
      <c r="J17" s="27" t="s">
        <v>30</v>
      </c>
      <c r="K17" s="26" t="s">
        <v>30</v>
      </c>
      <c r="L17" s="11" t="s">
        <v>30</v>
      </c>
      <c r="M17" s="26" t="s">
        <v>30</v>
      </c>
      <c r="N17" s="27" t="s">
        <v>30</v>
      </c>
      <c r="O17" s="26" t="s">
        <v>30</v>
      </c>
      <c r="P17" s="27" t="s">
        <v>30</v>
      </c>
      <c r="Q17" s="26" t="s">
        <v>30</v>
      </c>
      <c r="R17" s="27" t="s">
        <v>30</v>
      </c>
      <c r="S17" s="26" t="s">
        <v>30</v>
      </c>
      <c r="T17" s="27" t="s">
        <v>30</v>
      </c>
      <c r="U17" s="26" t="s">
        <v>30</v>
      </c>
      <c r="V17" s="27" t="s">
        <v>30</v>
      </c>
      <c r="W17" s="25" t="s">
        <v>20</v>
      </c>
      <c r="X17" s="27" t="s">
        <v>30</v>
      </c>
      <c r="Y17" s="25" t="s">
        <v>20</v>
      </c>
      <c r="Z17" s="27" t="s">
        <v>30</v>
      </c>
      <c r="AA17" s="11" t="s">
        <v>30</v>
      </c>
    </row>
    <row r="18">
      <c r="A18" s="22">
        <v>11.0</v>
      </c>
      <c r="B18" s="22" t="s">
        <v>16</v>
      </c>
      <c r="C18" s="22" t="s">
        <v>80</v>
      </c>
      <c r="D18" s="23" t="s">
        <v>30</v>
      </c>
      <c r="E18" s="22" t="s">
        <v>18</v>
      </c>
      <c r="F18" s="6" t="s">
        <v>81</v>
      </c>
      <c r="G18" s="6" t="s">
        <v>83</v>
      </c>
      <c r="H18" s="12" t="s">
        <v>30</v>
      </c>
      <c r="I18" s="23" t="s">
        <v>30</v>
      </c>
      <c r="J18" s="24" t="s">
        <v>30</v>
      </c>
      <c r="K18" s="23" t="s">
        <v>30</v>
      </c>
      <c r="L18" s="12" t="s">
        <v>30</v>
      </c>
      <c r="M18" s="23" t="s">
        <v>30</v>
      </c>
      <c r="N18" s="24" t="s">
        <v>30</v>
      </c>
      <c r="O18" s="23" t="s">
        <v>30</v>
      </c>
      <c r="P18" s="24" t="s">
        <v>30</v>
      </c>
      <c r="Q18" s="23" t="s">
        <v>30</v>
      </c>
      <c r="R18" s="24" t="s">
        <v>30</v>
      </c>
      <c r="S18" s="23" t="s">
        <v>30</v>
      </c>
      <c r="T18" s="24" t="s">
        <v>30</v>
      </c>
      <c r="U18" s="23" t="s">
        <v>30</v>
      </c>
      <c r="V18" s="24" t="s">
        <v>30</v>
      </c>
      <c r="W18" s="23" t="s">
        <v>30</v>
      </c>
      <c r="X18" s="24" t="s">
        <v>30</v>
      </c>
      <c r="Y18" s="23" t="s">
        <v>30</v>
      </c>
      <c r="Z18" s="24" t="s">
        <v>30</v>
      </c>
      <c r="AA18" s="6" t="s">
        <v>86</v>
      </c>
    </row>
    <row r="19">
      <c r="A19" s="25">
        <v>12.0</v>
      </c>
      <c r="B19" s="25" t="s">
        <v>16</v>
      </c>
      <c r="C19" s="25" t="s">
        <v>80</v>
      </c>
      <c r="D19" s="26" t="s">
        <v>30</v>
      </c>
      <c r="E19" s="25" t="s">
        <v>18</v>
      </c>
      <c r="F19" s="10" t="s">
        <v>87</v>
      </c>
      <c r="G19" s="10" t="s">
        <v>89</v>
      </c>
      <c r="H19" s="11" t="s">
        <v>30</v>
      </c>
      <c r="I19" s="26" t="s">
        <v>30</v>
      </c>
      <c r="J19" s="27" t="s">
        <v>30</v>
      </c>
      <c r="K19" s="26" t="s">
        <v>30</v>
      </c>
      <c r="L19" s="11" t="s">
        <v>30</v>
      </c>
      <c r="M19" s="26" t="s">
        <v>30</v>
      </c>
      <c r="N19" s="27" t="s">
        <v>30</v>
      </c>
      <c r="O19" s="26" t="s">
        <v>30</v>
      </c>
      <c r="P19" s="27" t="s">
        <v>30</v>
      </c>
      <c r="Q19" s="26" t="s">
        <v>30</v>
      </c>
      <c r="R19" s="27" t="s">
        <v>30</v>
      </c>
      <c r="S19" s="26" t="s">
        <v>30</v>
      </c>
      <c r="T19" s="27" t="s">
        <v>30</v>
      </c>
      <c r="U19" s="26" t="s">
        <v>30</v>
      </c>
      <c r="V19" s="27" t="s">
        <v>30</v>
      </c>
      <c r="W19" s="26" t="s">
        <v>30</v>
      </c>
      <c r="X19" s="27" t="s">
        <v>30</v>
      </c>
      <c r="Y19" s="26" t="s">
        <v>30</v>
      </c>
      <c r="Z19" s="27" t="s">
        <v>30</v>
      </c>
      <c r="AA19" s="11" t="s">
        <v>30</v>
      </c>
    </row>
    <row r="20">
      <c r="A20" s="22">
        <v>13.0</v>
      </c>
      <c r="B20" s="22" t="s">
        <v>16</v>
      </c>
      <c r="C20" s="22" t="s">
        <v>92</v>
      </c>
      <c r="D20" s="23" t="s">
        <v>30</v>
      </c>
      <c r="E20" s="22" t="s">
        <v>18</v>
      </c>
      <c r="F20" s="6" t="s">
        <v>93</v>
      </c>
      <c r="G20" s="6" t="s">
        <v>95</v>
      </c>
      <c r="H20" s="12" t="s">
        <v>30</v>
      </c>
      <c r="I20" s="23" t="s">
        <v>30</v>
      </c>
      <c r="J20" s="24" t="s">
        <v>30</v>
      </c>
      <c r="K20" s="23" t="s">
        <v>30</v>
      </c>
      <c r="L20" s="12" t="s">
        <v>30</v>
      </c>
      <c r="M20" s="23" t="s">
        <v>30</v>
      </c>
      <c r="N20" s="24" t="s">
        <v>30</v>
      </c>
      <c r="O20" s="23" t="s">
        <v>30</v>
      </c>
      <c r="P20" s="24" t="s">
        <v>30</v>
      </c>
      <c r="Q20" s="23" t="s">
        <v>30</v>
      </c>
      <c r="R20" s="24" t="s">
        <v>30</v>
      </c>
      <c r="S20" s="23" t="s">
        <v>30</v>
      </c>
      <c r="T20" s="24" t="s">
        <v>30</v>
      </c>
      <c r="U20" s="23" t="s">
        <v>30</v>
      </c>
      <c r="V20" s="24" t="s">
        <v>30</v>
      </c>
      <c r="W20" s="23" t="s">
        <v>30</v>
      </c>
      <c r="X20" s="24" t="s">
        <v>30</v>
      </c>
      <c r="Y20" s="23" t="s">
        <v>30</v>
      </c>
      <c r="Z20" s="24" t="s">
        <v>30</v>
      </c>
      <c r="AA20" s="6" t="s">
        <v>97</v>
      </c>
    </row>
    <row r="21">
      <c r="A21" s="25">
        <v>14.0</v>
      </c>
      <c r="B21" s="25" t="s">
        <v>16</v>
      </c>
      <c r="C21" s="25" t="s">
        <v>92</v>
      </c>
      <c r="D21" s="26" t="s">
        <v>30</v>
      </c>
      <c r="E21" s="25" t="s">
        <v>44</v>
      </c>
      <c r="F21" s="10" t="s">
        <v>98</v>
      </c>
      <c r="G21" s="10" t="s">
        <v>100</v>
      </c>
      <c r="H21" s="11" t="s">
        <v>30</v>
      </c>
      <c r="I21" s="26" t="s">
        <v>30</v>
      </c>
      <c r="J21" s="27" t="s">
        <v>30</v>
      </c>
      <c r="K21" s="26" t="s">
        <v>30</v>
      </c>
      <c r="L21" s="11" t="s">
        <v>30</v>
      </c>
      <c r="M21" s="26" t="s">
        <v>30</v>
      </c>
      <c r="N21" s="27" t="s">
        <v>30</v>
      </c>
      <c r="O21" s="26" t="s">
        <v>30</v>
      </c>
      <c r="P21" s="27" t="s">
        <v>30</v>
      </c>
      <c r="Q21" s="26" t="s">
        <v>30</v>
      </c>
      <c r="R21" s="27" t="s">
        <v>30</v>
      </c>
      <c r="S21" s="26" t="s">
        <v>30</v>
      </c>
      <c r="T21" s="27" t="s">
        <v>30</v>
      </c>
      <c r="U21" s="26" t="s">
        <v>30</v>
      </c>
      <c r="V21" s="27" t="s">
        <v>30</v>
      </c>
      <c r="W21" s="26" t="s">
        <v>30</v>
      </c>
      <c r="X21" s="27" t="s">
        <v>30</v>
      </c>
      <c r="Y21" s="26" t="s">
        <v>30</v>
      </c>
      <c r="Z21" s="27" t="s">
        <v>30</v>
      </c>
      <c r="AA21" s="10" t="s">
        <v>102</v>
      </c>
    </row>
    <row r="22">
      <c r="A22" s="22">
        <v>15.0</v>
      </c>
      <c r="B22" s="22" t="s">
        <v>16</v>
      </c>
      <c r="C22" s="22" t="s">
        <v>92</v>
      </c>
      <c r="D22" s="23" t="s">
        <v>30</v>
      </c>
      <c r="E22" s="22" t="s">
        <v>44</v>
      </c>
      <c r="F22" s="6" t="s">
        <v>103</v>
      </c>
      <c r="G22" s="6" t="s">
        <v>105</v>
      </c>
      <c r="H22" s="12" t="s">
        <v>30</v>
      </c>
      <c r="I22" s="23" t="s">
        <v>30</v>
      </c>
      <c r="J22" s="24" t="s">
        <v>30</v>
      </c>
      <c r="K22" s="23" t="s">
        <v>30</v>
      </c>
      <c r="L22" s="12" t="s">
        <v>30</v>
      </c>
      <c r="M22" s="23" t="s">
        <v>30</v>
      </c>
      <c r="N22" s="24" t="s">
        <v>30</v>
      </c>
      <c r="O22" s="23" t="s">
        <v>30</v>
      </c>
      <c r="P22" s="24" t="s">
        <v>30</v>
      </c>
      <c r="Q22" s="23" t="s">
        <v>30</v>
      </c>
      <c r="R22" s="24" t="s">
        <v>30</v>
      </c>
      <c r="S22" s="23" t="s">
        <v>30</v>
      </c>
      <c r="T22" s="24" t="s">
        <v>30</v>
      </c>
      <c r="U22" s="23" t="s">
        <v>30</v>
      </c>
      <c r="V22" s="24" t="s">
        <v>30</v>
      </c>
      <c r="W22" s="23" t="s">
        <v>30</v>
      </c>
      <c r="X22" s="24" t="s">
        <v>30</v>
      </c>
      <c r="Y22" s="23" t="s">
        <v>30</v>
      </c>
      <c r="Z22" s="24" t="s">
        <v>30</v>
      </c>
      <c r="AA22" s="6" t="s">
        <v>107</v>
      </c>
    </row>
    <row r="23">
      <c r="A23" s="25">
        <v>16.0</v>
      </c>
      <c r="B23" s="25" t="s">
        <v>16</v>
      </c>
      <c r="C23" s="25" t="s">
        <v>92</v>
      </c>
      <c r="D23" s="26" t="s">
        <v>30</v>
      </c>
      <c r="E23" s="25" t="s">
        <v>44</v>
      </c>
      <c r="F23" s="10" t="s">
        <v>108</v>
      </c>
      <c r="G23" s="10" t="s">
        <v>110</v>
      </c>
      <c r="H23" s="11" t="s">
        <v>30</v>
      </c>
      <c r="I23" s="26" t="s">
        <v>30</v>
      </c>
      <c r="J23" s="27" t="s">
        <v>30</v>
      </c>
      <c r="K23" s="26" t="s">
        <v>30</v>
      </c>
      <c r="L23" s="11" t="s">
        <v>30</v>
      </c>
      <c r="M23" s="26" t="s">
        <v>30</v>
      </c>
      <c r="N23" s="27" t="s">
        <v>30</v>
      </c>
      <c r="O23" s="26" t="s">
        <v>30</v>
      </c>
      <c r="P23" s="27" t="s">
        <v>30</v>
      </c>
      <c r="Q23" s="26" t="s">
        <v>30</v>
      </c>
      <c r="R23" s="27" t="s">
        <v>30</v>
      </c>
      <c r="S23" s="26" t="s">
        <v>30</v>
      </c>
      <c r="T23" s="27" t="s">
        <v>30</v>
      </c>
      <c r="U23" s="26" t="s">
        <v>30</v>
      </c>
      <c r="V23" s="27" t="s">
        <v>30</v>
      </c>
      <c r="W23" s="26" t="s">
        <v>30</v>
      </c>
      <c r="X23" s="27" t="s">
        <v>30</v>
      </c>
      <c r="Y23" s="26" t="s">
        <v>30</v>
      </c>
      <c r="Z23" s="27" t="s">
        <v>30</v>
      </c>
      <c r="AA23" s="10" t="s">
        <v>112</v>
      </c>
    </row>
    <row r="24">
      <c r="A24" s="22">
        <v>17.0</v>
      </c>
      <c r="B24" s="22" t="s">
        <v>16</v>
      </c>
      <c r="C24" s="22" t="s">
        <v>113</v>
      </c>
      <c r="D24" s="23" t="s">
        <v>30</v>
      </c>
      <c r="E24" s="22" t="s">
        <v>44</v>
      </c>
      <c r="F24" s="6" t="s">
        <v>114</v>
      </c>
      <c r="G24" s="6" t="s">
        <v>116</v>
      </c>
      <c r="H24" s="12" t="s">
        <v>30</v>
      </c>
      <c r="I24" s="23" t="s">
        <v>30</v>
      </c>
      <c r="J24" s="24" t="s">
        <v>30</v>
      </c>
      <c r="K24" s="23" t="s">
        <v>30</v>
      </c>
      <c r="L24" s="12" t="s">
        <v>30</v>
      </c>
      <c r="M24" s="23" t="s">
        <v>30</v>
      </c>
      <c r="N24" s="24" t="s">
        <v>30</v>
      </c>
      <c r="O24" s="23" t="s">
        <v>30</v>
      </c>
      <c r="P24" s="24" t="s">
        <v>30</v>
      </c>
      <c r="Q24" s="23" t="s">
        <v>30</v>
      </c>
      <c r="R24" s="24" t="s">
        <v>30</v>
      </c>
      <c r="S24" s="23" t="s">
        <v>30</v>
      </c>
      <c r="T24" s="24" t="s">
        <v>30</v>
      </c>
      <c r="U24" s="23" t="s">
        <v>30</v>
      </c>
      <c r="V24" s="24" t="s">
        <v>30</v>
      </c>
      <c r="W24" s="23" t="s">
        <v>30</v>
      </c>
      <c r="X24" s="24" t="s">
        <v>30</v>
      </c>
      <c r="Y24" s="23" t="s">
        <v>30</v>
      </c>
      <c r="Z24" s="24" t="s">
        <v>30</v>
      </c>
      <c r="AA24" s="6" t="s">
        <v>119</v>
      </c>
    </row>
    <row r="25">
      <c r="A25" s="25">
        <v>18.0</v>
      </c>
      <c r="B25" s="25" t="s">
        <v>16</v>
      </c>
      <c r="C25" s="25" t="s">
        <v>113</v>
      </c>
      <c r="D25" s="26" t="s">
        <v>30</v>
      </c>
      <c r="E25" s="25" t="s">
        <v>44</v>
      </c>
      <c r="F25" s="10" t="s">
        <v>120</v>
      </c>
      <c r="G25" s="10" t="s">
        <v>122</v>
      </c>
      <c r="H25" s="11" t="s">
        <v>30</v>
      </c>
      <c r="I25" s="26" t="s">
        <v>30</v>
      </c>
      <c r="J25" s="27" t="s">
        <v>30</v>
      </c>
      <c r="K25" s="26" t="s">
        <v>30</v>
      </c>
      <c r="L25" s="11" t="s">
        <v>30</v>
      </c>
      <c r="M25" s="26" t="s">
        <v>30</v>
      </c>
      <c r="N25" s="27" t="s">
        <v>30</v>
      </c>
      <c r="O25" s="26" t="s">
        <v>30</v>
      </c>
      <c r="P25" s="27" t="s">
        <v>30</v>
      </c>
      <c r="Q25" s="26" t="s">
        <v>30</v>
      </c>
      <c r="R25" s="27" t="s">
        <v>30</v>
      </c>
      <c r="S25" s="26" t="s">
        <v>30</v>
      </c>
      <c r="T25" s="27" t="s">
        <v>30</v>
      </c>
      <c r="U25" s="26" t="s">
        <v>30</v>
      </c>
      <c r="V25" s="27" t="s">
        <v>30</v>
      </c>
      <c r="W25" s="26" t="s">
        <v>30</v>
      </c>
      <c r="X25" s="27" t="s">
        <v>30</v>
      </c>
      <c r="Y25" s="26" t="s">
        <v>30</v>
      </c>
      <c r="Z25" s="27" t="s">
        <v>30</v>
      </c>
      <c r="AA25" s="10" t="s">
        <v>125</v>
      </c>
    </row>
    <row r="26">
      <c r="A26" s="22">
        <v>19.0</v>
      </c>
      <c r="B26" s="22" t="s">
        <v>16</v>
      </c>
      <c r="C26" s="22" t="s">
        <v>113</v>
      </c>
      <c r="D26" s="23" t="s">
        <v>30</v>
      </c>
      <c r="E26" s="22" t="s">
        <v>44</v>
      </c>
      <c r="F26" s="6" t="s">
        <v>126</v>
      </c>
      <c r="G26" s="6" t="s">
        <v>128</v>
      </c>
      <c r="H26" s="12" t="s">
        <v>30</v>
      </c>
      <c r="I26" s="23" t="s">
        <v>30</v>
      </c>
      <c r="J26" s="24" t="s">
        <v>30</v>
      </c>
      <c r="K26" s="23" t="s">
        <v>30</v>
      </c>
      <c r="L26" s="12" t="s">
        <v>30</v>
      </c>
      <c r="M26" s="23" t="s">
        <v>30</v>
      </c>
      <c r="N26" s="24" t="s">
        <v>30</v>
      </c>
      <c r="O26" s="23" t="s">
        <v>30</v>
      </c>
      <c r="P26" s="24" t="s">
        <v>30</v>
      </c>
      <c r="Q26" s="23" t="s">
        <v>30</v>
      </c>
      <c r="R26" s="24" t="s">
        <v>30</v>
      </c>
      <c r="S26" s="23" t="s">
        <v>30</v>
      </c>
      <c r="T26" s="24" t="s">
        <v>30</v>
      </c>
      <c r="U26" s="23" t="s">
        <v>30</v>
      </c>
      <c r="V26" s="24" t="s">
        <v>30</v>
      </c>
      <c r="W26" s="23" t="s">
        <v>30</v>
      </c>
      <c r="X26" s="24" t="s">
        <v>30</v>
      </c>
      <c r="Y26" s="23" t="s">
        <v>30</v>
      </c>
      <c r="Z26" s="24" t="s">
        <v>30</v>
      </c>
      <c r="AA26" s="6" t="s">
        <v>129</v>
      </c>
    </row>
    <row r="27">
      <c r="A27" s="25">
        <v>20.0</v>
      </c>
      <c r="B27" s="25" t="s">
        <v>16</v>
      </c>
      <c r="C27" s="25" t="s">
        <v>113</v>
      </c>
      <c r="D27" s="26" t="s">
        <v>30</v>
      </c>
      <c r="E27" s="25" t="s">
        <v>44</v>
      </c>
      <c r="F27" s="10" t="s">
        <v>130</v>
      </c>
      <c r="G27" s="10" t="s">
        <v>132</v>
      </c>
      <c r="H27" s="11" t="s">
        <v>30</v>
      </c>
      <c r="I27" s="26" t="s">
        <v>30</v>
      </c>
      <c r="J27" s="27" t="s">
        <v>30</v>
      </c>
      <c r="K27" s="26" t="s">
        <v>30</v>
      </c>
      <c r="L27" s="11" t="s">
        <v>30</v>
      </c>
      <c r="M27" s="26" t="s">
        <v>30</v>
      </c>
      <c r="N27" s="27" t="s">
        <v>30</v>
      </c>
      <c r="O27" s="26" t="s">
        <v>30</v>
      </c>
      <c r="P27" s="27" t="s">
        <v>30</v>
      </c>
      <c r="Q27" s="26" t="s">
        <v>30</v>
      </c>
      <c r="R27" s="27" t="s">
        <v>30</v>
      </c>
      <c r="S27" s="26" t="s">
        <v>30</v>
      </c>
      <c r="T27" s="27" t="s">
        <v>30</v>
      </c>
      <c r="U27" s="26" t="s">
        <v>30</v>
      </c>
      <c r="V27" s="27" t="s">
        <v>30</v>
      </c>
      <c r="W27" s="26" t="s">
        <v>30</v>
      </c>
      <c r="X27" s="27" t="s">
        <v>30</v>
      </c>
      <c r="Y27" s="26" t="s">
        <v>30</v>
      </c>
      <c r="Z27" s="27" t="s">
        <v>30</v>
      </c>
      <c r="AA27" s="10" t="s">
        <v>135</v>
      </c>
    </row>
    <row r="28">
      <c r="A28" s="22">
        <v>21.0</v>
      </c>
      <c r="B28" s="22" t="s">
        <v>136</v>
      </c>
      <c r="C28" s="22" t="s">
        <v>113</v>
      </c>
      <c r="D28" s="23" t="s">
        <v>30</v>
      </c>
      <c r="E28" s="22" t="s">
        <v>44</v>
      </c>
      <c r="F28" s="6" t="s">
        <v>137</v>
      </c>
      <c r="G28" s="6" t="s">
        <v>139</v>
      </c>
      <c r="H28" s="12" t="s">
        <v>30</v>
      </c>
      <c r="I28" s="23" t="s">
        <v>30</v>
      </c>
      <c r="J28" s="24" t="s">
        <v>30</v>
      </c>
      <c r="K28" s="23" t="s">
        <v>30</v>
      </c>
      <c r="L28" s="12" t="s">
        <v>30</v>
      </c>
      <c r="M28" s="23" t="s">
        <v>30</v>
      </c>
      <c r="N28" s="24" t="s">
        <v>30</v>
      </c>
      <c r="O28" s="23" t="s">
        <v>30</v>
      </c>
      <c r="P28" s="24" t="s">
        <v>30</v>
      </c>
      <c r="Q28" s="23" t="s">
        <v>30</v>
      </c>
      <c r="R28" s="24" t="s">
        <v>30</v>
      </c>
      <c r="S28" s="23" t="s">
        <v>30</v>
      </c>
      <c r="T28" s="24" t="s">
        <v>30</v>
      </c>
      <c r="U28" s="23" t="s">
        <v>30</v>
      </c>
      <c r="V28" s="24" t="s">
        <v>30</v>
      </c>
      <c r="W28" s="23" t="s">
        <v>30</v>
      </c>
      <c r="X28" s="24" t="s">
        <v>30</v>
      </c>
      <c r="Y28" s="23" t="s">
        <v>30</v>
      </c>
      <c r="Z28" s="24" t="s">
        <v>30</v>
      </c>
      <c r="AA28" s="6" t="s">
        <v>142</v>
      </c>
    </row>
    <row r="29">
      <c r="A29" s="25">
        <v>22.0</v>
      </c>
      <c r="B29" s="25" t="s">
        <v>136</v>
      </c>
      <c r="C29" s="25" t="s">
        <v>113</v>
      </c>
      <c r="D29" s="26" t="s">
        <v>30</v>
      </c>
      <c r="E29" s="25" t="s">
        <v>44</v>
      </c>
      <c r="F29" s="10" t="s">
        <v>143</v>
      </c>
      <c r="G29" s="10" t="s">
        <v>145</v>
      </c>
      <c r="H29" s="11" t="s">
        <v>30</v>
      </c>
      <c r="I29" s="26" t="s">
        <v>30</v>
      </c>
      <c r="J29" s="27" t="s">
        <v>30</v>
      </c>
      <c r="K29" s="26" t="s">
        <v>30</v>
      </c>
      <c r="L29" s="11" t="s">
        <v>30</v>
      </c>
      <c r="M29" s="26" t="s">
        <v>30</v>
      </c>
      <c r="N29" s="27" t="s">
        <v>30</v>
      </c>
      <c r="O29" s="26" t="s">
        <v>30</v>
      </c>
      <c r="P29" s="27" t="s">
        <v>30</v>
      </c>
      <c r="Q29" s="26" t="s">
        <v>30</v>
      </c>
      <c r="R29" s="27" t="s">
        <v>30</v>
      </c>
      <c r="S29" s="26" t="s">
        <v>30</v>
      </c>
      <c r="T29" s="27" t="s">
        <v>30</v>
      </c>
      <c r="U29" s="26" t="s">
        <v>30</v>
      </c>
      <c r="V29" s="27" t="s">
        <v>30</v>
      </c>
      <c r="W29" s="26" t="s">
        <v>30</v>
      </c>
      <c r="X29" s="27" t="s">
        <v>30</v>
      </c>
      <c r="Y29" s="26" t="s">
        <v>30</v>
      </c>
      <c r="Z29" s="27" t="s">
        <v>30</v>
      </c>
      <c r="AA29" s="10" t="s">
        <v>148</v>
      </c>
    </row>
    <row r="30">
      <c r="A30" s="22">
        <v>23.0</v>
      </c>
      <c r="B30" s="22" t="s">
        <v>16</v>
      </c>
      <c r="C30" s="23" t="s">
        <v>30</v>
      </c>
      <c r="D30" s="23" t="s">
        <v>30</v>
      </c>
      <c r="E30" s="23" t="s">
        <v>30</v>
      </c>
      <c r="F30" s="6" t="s">
        <v>149</v>
      </c>
      <c r="G30" s="6" t="s">
        <v>151</v>
      </c>
      <c r="H30" s="12" t="s">
        <v>30</v>
      </c>
      <c r="I30" s="23" t="s">
        <v>30</v>
      </c>
      <c r="J30" s="24" t="s">
        <v>30</v>
      </c>
      <c r="K30" s="23" t="s">
        <v>30</v>
      </c>
      <c r="L30" s="12" t="s">
        <v>30</v>
      </c>
      <c r="M30" s="23" t="s">
        <v>30</v>
      </c>
      <c r="N30" s="24" t="s">
        <v>30</v>
      </c>
      <c r="O30" s="23" t="s">
        <v>30</v>
      </c>
      <c r="P30" s="24" t="s">
        <v>30</v>
      </c>
      <c r="Q30" s="23" t="s">
        <v>30</v>
      </c>
      <c r="R30" s="24" t="s">
        <v>30</v>
      </c>
      <c r="S30" s="23" t="s">
        <v>30</v>
      </c>
      <c r="T30" s="24" t="s">
        <v>30</v>
      </c>
      <c r="U30" s="23" t="s">
        <v>30</v>
      </c>
      <c r="V30" s="24" t="s">
        <v>30</v>
      </c>
      <c r="W30" s="23" t="s">
        <v>30</v>
      </c>
      <c r="X30" s="24" t="s">
        <v>30</v>
      </c>
      <c r="Y30" s="23" t="s">
        <v>30</v>
      </c>
      <c r="Z30" s="24" t="s">
        <v>30</v>
      </c>
      <c r="AA30" s="6" t="s">
        <v>154</v>
      </c>
    </row>
    <row r="31">
      <c r="A31" s="25">
        <v>24.0</v>
      </c>
      <c r="B31" s="25" t="s">
        <v>16</v>
      </c>
      <c r="C31" s="26" t="s">
        <v>30</v>
      </c>
      <c r="D31" s="26" t="s">
        <v>30</v>
      </c>
      <c r="E31" s="26" t="s">
        <v>30</v>
      </c>
      <c r="F31" s="10" t="s">
        <v>155</v>
      </c>
      <c r="G31" s="10" t="s">
        <v>128</v>
      </c>
      <c r="H31" s="11" t="s">
        <v>30</v>
      </c>
      <c r="I31" s="26" t="s">
        <v>30</v>
      </c>
      <c r="J31" s="27" t="s">
        <v>30</v>
      </c>
      <c r="K31" s="26" t="s">
        <v>30</v>
      </c>
      <c r="L31" s="11" t="s">
        <v>30</v>
      </c>
      <c r="M31" s="26" t="s">
        <v>30</v>
      </c>
      <c r="N31" s="27" t="s">
        <v>30</v>
      </c>
      <c r="O31" s="26" t="s">
        <v>30</v>
      </c>
      <c r="P31" s="27" t="s">
        <v>30</v>
      </c>
      <c r="Q31" s="26" t="s">
        <v>30</v>
      </c>
      <c r="R31" s="27" t="s">
        <v>30</v>
      </c>
      <c r="S31" s="26" t="s">
        <v>30</v>
      </c>
      <c r="T31" s="27" t="s">
        <v>30</v>
      </c>
      <c r="U31" s="26" t="s">
        <v>30</v>
      </c>
      <c r="V31" s="27" t="s">
        <v>30</v>
      </c>
      <c r="W31" s="26" t="s">
        <v>30</v>
      </c>
      <c r="X31" s="27" t="s">
        <v>30</v>
      </c>
      <c r="Y31" s="26" t="s">
        <v>30</v>
      </c>
      <c r="Z31" s="27" t="s">
        <v>30</v>
      </c>
      <c r="AA31" s="11" t="s">
        <v>30</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6">
    <mergeCell ref="A1:AA1"/>
    <mergeCell ref="D3:E3"/>
    <mergeCell ref="G3:H3"/>
    <mergeCell ref="J3:K3"/>
    <mergeCell ref="M3:N3"/>
    <mergeCell ref="P3:Q3"/>
    <mergeCell ref="S3:T3"/>
    <mergeCell ref="S4:T4"/>
    <mergeCell ref="A6:AA6"/>
    <mergeCell ref="A3:B3"/>
    <mergeCell ref="A4:B4"/>
    <mergeCell ref="D4:E4"/>
    <mergeCell ref="G4:H4"/>
    <mergeCell ref="J4:K4"/>
    <mergeCell ref="M4:N4"/>
    <mergeCell ref="P4:Q4"/>
  </mergeCells>
  <conditionalFormatting sqref="I8:I31">
    <cfRule type="cellIs" dxfId="0" priority="1" operator="equal">
      <formula>"済"</formula>
    </cfRule>
  </conditionalFormatting>
  <conditionalFormatting sqref="I8:I31">
    <cfRule type="cellIs" dxfId="1" priority="2" operator="equal">
      <formula>"未"</formula>
    </cfRule>
  </conditionalFormatting>
  <conditionalFormatting sqref="M8:M31">
    <cfRule type="cellIs" dxfId="0" priority="3" operator="equal">
      <formula>"済"</formula>
    </cfRule>
  </conditionalFormatting>
  <conditionalFormatting sqref="M8:M31">
    <cfRule type="cellIs" dxfId="1" priority="4" operator="equal">
      <formula>"未"</formula>
    </cfRule>
  </conditionalFormatting>
  <conditionalFormatting sqref="O8:O31">
    <cfRule type="cellIs" dxfId="0" priority="5" operator="equal">
      <formula>"済"</formula>
    </cfRule>
  </conditionalFormatting>
  <conditionalFormatting sqref="O8:O31">
    <cfRule type="cellIs" dxfId="1" priority="6" operator="equal">
      <formula>"未"</formula>
    </cfRule>
  </conditionalFormatting>
  <conditionalFormatting sqref="U8:U31">
    <cfRule type="cellIs" dxfId="0" priority="7" operator="equal">
      <formula>"済"</formula>
    </cfRule>
  </conditionalFormatting>
  <conditionalFormatting sqref="U8:U31">
    <cfRule type="cellIs" dxfId="1" priority="8" operator="equal">
      <formula>"未"</formula>
    </cfRule>
  </conditionalFormatting>
  <conditionalFormatting sqref="W8:W31">
    <cfRule type="cellIs" dxfId="0" priority="9" operator="equal">
      <formula>"済"</formula>
    </cfRule>
  </conditionalFormatting>
  <conditionalFormatting sqref="W8:W31">
    <cfRule type="cellIs" dxfId="1" priority="10" operator="equal">
      <formula>"未"</formula>
    </cfRule>
  </conditionalFormatting>
  <conditionalFormatting sqref="Y8:Y31">
    <cfRule type="cellIs" dxfId="0" priority="11" operator="equal">
      <formula>"済"</formula>
    </cfRule>
  </conditionalFormatting>
  <conditionalFormatting sqref="Y8:Y31">
    <cfRule type="cellIs" dxfId="1" priority="12" operator="equal">
      <formula>"未"</formula>
    </cfRule>
  </conditionalFormatting>
  <conditionalFormatting sqref="S8:S31">
    <cfRule type="cellIs" dxfId="2" priority="13" operator="equal">
      <formula>"有"</formula>
    </cfRule>
  </conditionalFormatting>
  <conditionalFormatting sqref="S8:S31">
    <cfRule type="cellIs" dxfId="1" priority="14" operator="equal">
      <formula>"無"</formula>
    </cfRule>
  </conditionalFormatting>
  <conditionalFormatting sqref="Q8:Q31">
    <cfRule type="cellIs" dxfId="0" priority="15" operator="equal">
      <formula>"実施済"</formula>
    </cfRule>
  </conditionalFormatting>
  <conditionalFormatting sqref="Q8:Q31">
    <cfRule type="cellIs" dxfId="3" priority="16" operator="equal">
      <formula>"不参加"</formula>
    </cfRule>
  </conditionalFormatting>
  <conditionalFormatting sqref="Q8:Q31">
    <cfRule type="cellIs" dxfId="4" priority="17" operator="equal">
      <formula>"キャンセル"</formula>
    </cfRule>
  </conditionalFormatting>
  <conditionalFormatting sqref="Q8:Q31">
    <cfRule type="cellIs" dxfId="2" priority="18" operator="equal">
      <formula>"入金済"</formula>
    </cfRule>
  </conditionalFormatting>
  <conditionalFormatting sqref="K8:K31">
    <cfRule type="cellIs" dxfId="2" priority="19" operator="equal">
      <formula>"法人"</formula>
    </cfRule>
  </conditionalFormatting>
  <conditionalFormatting sqref="K8:K31">
    <cfRule type="cellIs" dxfId="3" priority="20" operator="equal">
      <formula>"個人"</formula>
    </cfRule>
  </conditionalFormatting>
  <dataValidations>
    <dataValidation type="list" allowBlank="1" sqref="S8:S31">
      <formula1>"有,無"</formula1>
    </dataValidation>
    <dataValidation type="list" allowBlank="1" sqref="Q8:Q31">
      <formula1>"未着手,日程設定済,契約待ち,請求済,入金済,実施済,不参加,キャンセル"</formula1>
    </dataValidation>
    <dataValidation type="list" allowBlank="1" sqref="I8:I31 M8:M31 O8:O31 U8:U31 W8:W31 Y8:Y31">
      <formula1>"未,済"</formula1>
    </dataValidation>
    <dataValidation type="list" allowBlank="1" sqref="K8:K31">
      <formula1>"法人,個人,法人所属の個人,未確認"</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49.0"/>
    <col customWidth="1" min="3" max="4" width="14.0"/>
    <col customWidth="1" min="5" max="26" width="7.63"/>
  </cols>
  <sheetData>
    <row r="1" ht="21.75" customHeight="1">
      <c r="A1" s="28" t="s">
        <v>184</v>
      </c>
      <c r="B1" s="2"/>
      <c r="C1" s="2"/>
      <c r="D1" s="2"/>
    </row>
    <row r="2" ht="21.75" customHeight="1">
      <c r="A2" s="29" t="s">
        <v>185</v>
      </c>
    </row>
    <row r="3" ht="21.75" customHeight="1"/>
    <row r="4" ht="21.75" customHeight="1">
      <c r="A4" s="30" t="s">
        <v>186</v>
      </c>
      <c r="B4" s="30" t="s">
        <v>187</v>
      </c>
    </row>
    <row r="5" ht="21.75" customHeight="1">
      <c r="A5" s="30" t="s">
        <v>157</v>
      </c>
      <c r="B5" s="30" t="s">
        <v>188</v>
      </c>
    </row>
    <row r="6" ht="21.75" customHeight="1"/>
    <row r="7" ht="21.75" customHeight="1">
      <c r="A7" s="29" t="s">
        <v>189</v>
      </c>
    </row>
    <row r="8" ht="21.75" customHeight="1">
      <c r="A8" s="30" t="s">
        <v>190</v>
      </c>
    </row>
    <row r="9" ht="21.75" customHeight="1">
      <c r="A9" s="30" t="s">
        <v>191</v>
      </c>
    </row>
    <row r="10" ht="21.75" customHeight="1">
      <c r="A10" s="30" t="s">
        <v>192</v>
      </c>
    </row>
    <row r="11" ht="21.75" customHeight="1">
      <c r="A11" s="30" t="s">
        <v>193</v>
      </c>
    </row>
    <row r="12" ht="21.75" customHeight="1"/>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D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